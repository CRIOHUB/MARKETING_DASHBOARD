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mc:AlternateContent xmlns:mc="http://schemas.openxmlformats.org/markup-compatibility/2006">
    <mc:Choice Requires="x15">
      <x15ac:absPath xmlns:x15ac="http://schemas.microsoft.com/office/spreadsheetml/2010/11/ac" url="https://pecriocord-my.sharepoint.com/personal/murteaga_criocord_com_pe/Documents/Documentos/Marketing/"/>
    </mc:Choice>
  </mc:AlternateContent>
  <xr:revisionPtr revIDLastSave="0" documentId="8_{690889FA-FB31-4865-BEF1-A8233AE7FE63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ENE-26" sheetId="18" r:id="rId1"/>
    <sheet name="FEB-26" sheetId="20" r:id="rId2"/>
    <sheet name="MAR-26" sheetId="21" r:id="rId3"/>
    <sheet name="ABR-26" sheetId="22" r:id="rId4"/>
    <sheet name="MAY-26" sheetId="23" r:id="rId5"/>
    <sheet name="Hoja1" sheetId="12" r:id="rId6"/>
    <sheet name="NO BORRAR" sheetId="1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21" l="1"/>
  <c r="U21" i="20"/>
  <c r="U21" i="18"/>
  <c r="U25" i="18"/>
  <c r="P12" i="22"/>
  <c r="R20" i="22"/>
  <c r="O4" i="22"/>
  <c r="N8" i="22"/>
  <c r="AA4" i="21"/>
  <c r="N13" i="21"/>
  <c r="N14" i="21"/>
  <c r="N15" i="21"/>
  <c r="N12" i="21"/>
  <c r="M16" i="21"/>
  <c r="R20" i="21"/>
  <c r="K8" i="21"/>
  <c r="R22" i="21"/>
  <c r="R23" i="21"/>
  <c r="R24" i="21"/>
  <c r="J25" i="21"/>
  <c r="AD4" i="20"/>
  <c r="V5" i="20"/>
  <c r="V4" i="20"/>
  <c r="Z3" i="20"/>
  <c r="V3" i="20"/>
  <c r="R4" i="20"/>
  <c r="U20" i="20"/>
  <c r="O4" i="20"/>
  <c r="O5" i="20"/>
  <c r="O6" i="20"/>
  <c r="O7" i="20"/>
  <c r="N8" i="20"/>
  <c r="P25" i="20"/>
  <c r="Z4" i="20"/>
  <c r="U22" i="20"/>
  <c r="U23" i="20"/>
  <c r="U24" i="20"/>
  <c r="U25" i="20"/>
  <c r="M30" i="18"/>
  <c r="AC4" i="23"/>
  <c r="Y4" i="23"/>
  <c r="U4" i="23"/>
  <c r="AC3" i="23"/>
  <c r="Y3" i="23"/>
  <c r="U3" i="23"/>
  <c r="AD4" i="22"/>
  <c r="Z4" i="22"/>
  <c r="V4" i="22"/>
  <c r="V3" i="22"/>
  <c r="W4" i="21"/>
  <c r="S4" i="21"/>
  <c r="S3" i="21"/>
  <c r="U22" i="18"/>
  <c r="U23" i="18"/>
  <c r="AC4" i="18" s="1"/>
  <c r="U24" i="18"/>
  <c r="U20" i="18"/>
  <c r="R13" i="18"/>
  <c r="R14" i="18"/>
  <c r="R15" i="18"/>
  <c r="R12" i="18"/>
  <c r="AC3" i="18"/>
  <c r="Y4" i="18"/>
  <c r="Y3" i="18"/>
  <c r="U4" i="18"/>
  <c r="U3" i="18"/>
  <c r="Q3" i="23"/>
  <c r="N30" i="18"/>
  <c r="R16" i="18"/>
  <c r="N29" i="18"/>
  <c r="R3" i="20"/>
  <c r="N4" i="18"/>
  <c r="Q3" i="18" s="1"/>
  <c r="I6" i="23"/>
  <c r="I4" i="23"/>
  <c r="I5" i="23"/>
  <c r="I3" i="23"/>
  <c r="Q25" i="22"/>
  <c r="R25" i="21"/>
  <c r="O25" i="21"/>
  <c r="P25" i="21"/>
  <c r="Q25" i="20"/>
  <c r="R25" i="20"/>
  <c r="S25" i="18"/>
  <c r="R25" i="18"/>
  <c r="Q25" i="18"/>
  <c r="N31" i="18"/>
  <c r="P25" i="18"/>
  <c r="O25" i="18"/>
  <c r="N25" i="18"/>
  <c r="M25" i="18"/>
  <c r="M8" i="18"/>
  <c r="M29" i="18" s="1"/>
  <c r="N7" i="18"/>
  <c r="N6" i="18"/>
  <c r="N5" i="18"/>
  <c r="N8" i="18"/>
  <c r="O25" i="20"/>
  <c r="N25" i="20"/>
  <c r="M25" i="20"/>
  <c r="S25" i="20"/>
  <c r="M8" i="20"/>
  <c r="M29" i="20" s="1"/>
  <c r="AD3" i="20"/>
  <c r="O8" i="20"/>
  <c r="M25" i="21"/>
  <c r="L25" i="21"/>
  <c r="K25" i="21"/>
  <c r="N25" i="21"/>
  <c r="J8" i="21"/>
  <c r="L7" i="21"/>
  <c r="AA3" i="21" s="1"/>
  <c r="L6" i="21"/>
  <c r="W3" i="21" s="1"/>
  <c r="L5" i="21"/>
  <c r="L4" i="21"/>
  <c r="P25" i="22"/>
  <c r="O25" i="22"/>
  <c r="N25" i="22"/>
  <c r="M25" i="22"/>
  <c r="R24" i="22"/>
  <c r="R23" i="22"/>
  <c r="R22" i="22"/>
  <c r="R21" i="22"/>
  <c r="R25" i="22"/>
  <c r="P15" i="22"/>
  <c r="P14" i="22"/>
  <c r="P13" i="22"/>
  <c r="M8" i="22"/>
  <c r="O7" i="22"/>
  <c r="AD3" i="22" s="1"/>
  <c r="O6" i="22"/>
  <c r="Z3" i="22" s="1"/>
  <c r="O5" i="22"/>
  <c r="N7" i="23"/>
  <c r="P13" i="23"/>
  <c r="Q22" i="23"/>
  <c r="Q23" i="23"/>
  <c r="Q24" i="23"/>
  <c r="M25" i="23"/>
  <c r="N25" i="23"/>
  <c r="O25" i="23"/>
  <c r="P25" i="23"/>
  <c r="Q21" i="23"/>
  <c r="Q20" i="23"/>
  <c r="Q25" i="23" s="1"/>
  <c r="P14" i="23"/>
  <c r="P15" i="23"/>
  <c r="I19" i="23"/>
  <c r="E19" i="23"/>
  <c r="F19" i="23"/>
  <c r="G19" i="23"/>
  <c r="H19" i="23"/>
  <c r="E13" i="23"/>
  <c r="F13" i="23"/>
  <c r="G13" i="23"/>
  <c r="H13" i="23"/>
  <c r="E6" i="23"/>
  <c r="E24" i="23" s="1"/>
  <c r="F6" i="23"/>
  <c r="F24" i="23" s="1"/>
  <c r="G6" i="23"/>
  <c r="G24" i="23" s="1"/>
  <c r="H6" i="23"/>
  <c r="H24" i="23" s="1"/>
  <c r="F6" i="22"/>
  <c r="G6" i="22"/>
  <c r="H6" i="22"/>
  <c r="I6" i="22"/>
  <c r="F13" i="22"/>
  <c r="G13" i="22"/>
  <c r="H13" i="22"/>
  <c r="I13" i="22"/>
  <c r="F19" i="22"/>
  <c r="G19" i="22"/>
  <c r="H19" i="22"/>
  <c r="I19" i="22"/>
  <c r="F24" i="22"/>
  <c r="G24" i="22"/>
  <c r="H24" i="22"/>
  <c r="I24" i="22"/>
  <c r="E23" i="22"/>
  <c r="N16" i="21"/>
  <c r="J30" i="21" s="1"/>
  <c r="I35" i="23"/>
  <c r="F35" i="23"/>
  <c r="E31" i="23"/>
  <c r="D31" i="23"/>
  <c r="C31" i="23"/>
  <c r="F30" i="23"/>
  <c r="F29" i="23"/>
  <c r="F28" i="23"/>
  <c r="F31" i="23" s="1"/>
  <c r="I23" i="23"/>
  <c r="O16" i="23"/>
  <c r="N16" i="23"/>
  <c r="M16" i="23"/>
  <c r="M8" i="23"/>
  <c r="M29" i="23" s="1"/>
  <c r="I13" i="23"/>
  <c r="N29" i="23" s="1"/>
  <c r="N6" i="23"/>
  <c r="N5" i="23"/>
  <c r="N4" i="23"/>
  <c r="N8" i="23" s="1"/>
  <c r="I35" i="22"/>
  <c r="F35" i="22"/>
  <c r="E31" i="22"/>
  <c r="D31" i="22"/>
  <c r="C31" i="22"/>
  <c r="F30" i="22"/>
  <c r="F29" i="22"/>
  <c r="F28" i="22"/>
  <c r="F31" i="22" s="1"/>
  <c r="E19" i="22"/>
  <c r="E13" i="22"/>
  <c r="N29" i="22" s="1"/>
  <c r="E6" i="22"/>
  <c r="L41" i="21"/>
  <c r="I41" i="21"/>
  <c r="F40" i="21"/>
  <c r="E36" i="21"/>
  <c r="D36" i="21"/>
  <c r="C36" i="21"/>
  <c r="F35" i="21"/>
  <c r="F34" i="21"/>
  <c r="F33" i="21"/>
  <c r="F32" i="21"/>
  <c r="F36" i="21" s="1"/>
  <c r="F27" i="21"/>
  <c r="E27" i="21"/>
  <c r="F23" i="21"/>
  <c r="E23" i="21"/>
  <c r="F16" i="21"/>
  <c r="E16" i="21"/>
  <c r="Q25" i="21"/>
  <c r="L16" i="21"/>
  <c r="K16" i="21"/>
  <c r="J16" i="21"/>
  <c r="F7" i="21"/>
  <c r="E7" i="21"/>
  <c r="E28" i="21" s="1"/>
  <c r="F34" i="20"/>
  <c r="BG4" i="19"/>
  <c r="BH4" i="19"/>
  <c r="BG5" i="19"/>
  <c r="BH5" i="19"/>
  <c r="BG6" i="19"/>
  <c r="BH6" i="19"/>
  <c r="BG7" i="19"/>
  <c r="BH7" i="19"/>
  <c r="BH3" i="19"/>
  <c r="BG3" i="19"/>
  <c r="L44" i="20"/>
  <c r="I44" i="20"/>
  <c r="F44" i="20"/>
  <c r="C41" i="20"/>
  <c r="D41" i="20" s="1"/>
  <c r="D40" i="20"/>
  <c r="E36" i="20"/>
  <c r="D36" i="20"/>
  <c r="C36" i="20"/>
  <c r="F35" i="20"/>
  <c r="F33" i="20"/>
  <c r="F32" i="20"/>
  <c r="F36" i="20" s="1"/>
  <c r="F27" i="20"/>
  <c r="E27" i="20"/>
  <c r="F23" i="20"/>
  <c r="E23" i="20"/>
  <c r="F17" i="20"/>
  <c r="E17" i="20"/>
  <c r="T25" i="20"/>
  <c r="Q16" i="20"/>
  <c r="P16" i="20"/>
  <c r="O16" i="20"/>
  <c r="N16" i="20"/>
  <c r="M16" i="20"/>
  <c r="F8" i="20"/>
  <c r="N30" i="20" s="1"/>
  <c r="E8" i="20"/>
  <c r="E28" i="20" s="1"/>
  <c r="I5" i="20"/>
  <c r="J4" i="20"/>
  <c r="J5" i="20" s="1"/>
  <c r="E8" i="18"/>
  <c r="F35" i="18"/>
  <c r="F27" i="18"/>
  <c r="E27" i="18"/>
  <c r="F23" i="18"/>
  <c r="E23" i="18"/>
  <c r="F8" i="18"/>
  <c r="F17" i="18"/>
  <c r="E17" i="18"/>
  <c r="F34" i="18"/>
  <c r="F33" i="18"/>
  <c r="F32" i="18"/>
  <c r="D36" i="18"/>
  <c r="E36" i="18"/>
  <c r="C36" i="18"/>
  <c r="T25" i="18"/>
  <c r="O16" i="18"/>
  <c r="P16" i="18"/>
  <c r="Q16" i="18"/>
  <c r="N16" i="18"/>
  <c r="L44" i="18"/>
  <c r="I44" i="18"/>
  <c r="F44" i="18"/>
  <c r="C41" i="18"/>
  <c r="D41" i="18" s="1"/>
  <c r="D40" i="18"/>
  <c r="M16" i="18"/>
  <c r="F28" i="18"/>
  <c r="E28" i="18"/>
  <c r="I5" i="18"/>
  <c r="J4" i="18"/>
  <c r="J5" i="18" s="1"/>
  <c r="J25" i="12"/>
  <c r="J24" i="12"/>
  <c r="T45" i="12"/>
  <c r="P29" i="12"/>
  <c r="O8" i="22" l="1"/>
  <c r="M29" i="22" s="1"/>
  <c r="R3" i="22"/>
  <c r="F28" i="21"/>
  <c r="K30" i="21"/>
  <c r="K29" i="21"/>
  <c r="K31" i="21" s="1"/>
  <c r="L8" i="21"/>
  <c r="J29" i="21" s="1"/>
  <c r="O3" i="21"/>
  <c r="N29" i="20"/>
  <c r="Q5" i="18"/>
  <c r="U5" i="23"/>
  <c r="V3" i="23"/>
  <c r="Y5" i="23"/>
  <c r="Z3" i="23"/>
  <c r="AC5" i="23"/>
  <c r="AD3" i="23"/>
  <c r="V4" i="23"/>
  <c r="Z4" i="23"/>
  <c r="AD4" i="23"/>
  <c r="V5" i="22"/>
  <c r="W3" i="22"/>
  <c r="Z5" i="22"/>
  <c r="AA3" i="22"/>
  <c r="AD5" i="22"/>
  <c r="AE3" i="22"/>
  <c r="W4" i="22"/>
  <c r="AA4" i="22"/>
  <c r="AE4" i="22"/>
  <c r="S5" i="21"/>
  <c r="T3" i="21"/>
  <c r="W5" i="21"/>
  <c r="X3" i="21"/>
  <c r="AA5" i="21"/>
  <c r="AB3" i="21"/>
  <c r="T4" i="21"/>
  <c r="X4" i="21"/>
  <c r="AB4" i="21"/>
  <c r="W3" i="20"/>
  <c r="Z5" i="20"/>
  <c r="AA3" i="20"/>
  <c r="AD5" i="20"/>
  <c r="AE3" i="20"/>
  <c r="W4" i="20"/>
  <c r="AA4" i="20"/>
  <c r="AE4" i="20"/>
  <c r="U5" i="18"/>
  <c r="V4" i="18" s="1"/>
  <c r="V3" i="18"/>
  <c r="Q5" i="23"/>
  <c r="R4" i="23" s="1"/>
  <c r="R3" i="23"/>
  <c r="R5" i="22"/>
  <c r="S4" i="22" s="1"/>
  <c r="S3" i="22"/>
  <c r="O5" i="21"/>
  <c r="P4" i="21" s="1"/>
  <c r="P3" i="21"/>
  <c r="R5" i="20"/>
  <c r="S4" i="20" s="1"/>
  <c r="S3" i="20"/>
  <c r="I24" i="23"/>
  <c r="N30" i="23"/>
  <c r="N31" i="23"/>
  <c r="P12" i="23"/>
  <c r="P16" i="23" s="1"/>
  <c r="M30" i="23" s="1"/>
  <c r="M31" i="23" s="1"/>
  <c r="N30" i="22"/>
  <c r="E24" i="22"/>
  <c r="N31" i="22"/>
  <c r="F28" i="20"/>
  <c r="N31" i="20"/>
  <c r="M16" i="22"/>
  <c r="F36" i="18"/>
  <c r="R4" i="18" l="1"/>
  <c r="R3" i="18"/>
  <c r="Y5" i="18"/>
  <c r="Z4" i="18" s="1"/>
  <c r="Z3" i="18"/>
  <c r="N16" i="22"/>
  <c r="AC5" i="18" l="1"/>
  <c r="AD4" i="18" s="1"/>
  <c r="AD3" i="18"/>
  <c r="M31" i="18"/>
  <c r="J31" i="21"/>
  <c r="O16" i="22"/>
  <c r="P16" i="22"/>
  <c r="M30" i="22" s="1"/>
  <c r="R16" i="20"/>
  <c r="M30" i="20" s="1"/>
  <c r="M31" i="20" s="1"/>
  <c r="M31" i="22" l="1"/>
</calcChain>
</file>

<file path=xl/sharedStrings.xml><?xml version="1.0" encoding="utf-8"?>
<sst xmlns="http://schemas.openxmlformats.org/spreadsheetml/2006/main" count="1127" uniqueCount="239">
  <si>
    <t>CRIOCORD</t>
  </si>
  <si>
    <t>MY PRENATAL</t>
  </si>
  <si>
    <t>CAPTACION OFFLINE - VISITADORES</t>
  </si>
  <si>
    <t>VISITADORES</t>
  </si>
  <si>
    <t>TOTAL INGRESADO</t>
  </si>
  <si>
    <t>VALIDOS</t>
  </si>
  <si>
    <t>REPORTE DE VISITAS AL MES</t>
  </si>
  <si>
    <t>VENTAS CANAL ONLINE</t>
  </si>
  <si>
    <t>UNIDADES CORE</t>
  </si>
  <si>
    <t>%</t>
  </si>
  <si>
    <t>U. TAMIZ</t>
  </si>
  <si>
    <t>U. ADN</t>
  </si>
  <si>
    <t>U. MYPREN</t>
  </si>
  <si>
    <t>MILAGRITOS</t>
  </si>
  <si>
    <t>VISITADOR</t>
  </si>
  <si>
    <t>MEDICOS</t>
  </si>
  <si>
    <t>TOTAL</t>
  </si>
  <si>
    <t>SERVICIO</t>
  </si>
  <si>
    <t>MKT CRIO</t>
  </si>
  <si>
    <t>MKT</t>
  </si>
  <si>
    <t>MARYLIN</t>
  </si>
  <si>
    <t>MILAGROS</t>
  </si>
  <si>
    <t>CORDONES</t>
  </si>
  <si>
    <t>VM</t>
  </si>
  <si>
    <t>ALEJANDRA</t>
  </si>
  <si>
    <t>TOTAL VISITAS</t>
  </si>
  <si>
    <t>TAMIZAJE</t>
  </si>
  <si>
    <t>ADLER</t>
  </si>
  <si>
    <t>ADN</t>
  </si>
  <si>
    <t>VELIA</t>
  </si>
  <si>
    <t>TOTAL INGRESOS</t>
  </si>
  <si>
    <t xml:space="preserve">TOTAL </t>
  </si>
  <si>
    <t>CAPTACION ONLINE - COMERCIAL</t>
  </si>
  <si>
    <t>FFVV - COMERCIAL</t>
  </si>
  <si>
    <t>LOURDES</t>
  </si>
  <si>
    <t>VENTAS CANAL OFFLINE POR CAPTADOR</t>
  </si>
  <si>
    <t>HEINRRICH</t>
  </si>
  <si>
    <t xml:space="preserve">VELIA </t>
  </si>
  <si>
    <t xml:space="preserve">ALEJANDRA </t>
  </si>
  <si>
    <t>CAROLINA</t>
  </si>
  <si>
    <t>LISETH</t>
  </si>
  <si>
    <t>YVAN</t>
  </si>
  <si>
    <t>GERSON</t>
  </si>
  <si>
    <t xml:space="preserve">ADRIANA </t>
  </si>
  <si>
    <t>CAPTACION ONLINE - MARKETING</t>
  </si>
  <si>
    <t>VENTAS POR ASESOR COMERCIAL</t>
  </si>
  <si>
    <t>DANIEL</t>
  </si>
  <si>
    <t>ADRIANA</t>
  </si>
  <si>
    <t>MILAGROS H</t>
  </si>
  <si>
    <t>ANDREA GIUSTI</t>
  </si>
  <si>
    <t>ROBERTO</t>
  </si>
  <si>
    <t>MAFER</t>
  </si>
  <si>
    <t>CAPTACION ONLINE - ANUALIDADES</t>
  </si>
  <si>
    <t>ANUALIDADES</t>
  </si>
  <si>
    <t>SEGURIDAD TOTAL</t>
  </si>
  <si>
    <t>MARCOS</t>
  </si>
  <si>
    <t>KATHERINE</t>
  </si>
  <si>
    <t>CAPTACION VS VENTA</t>
  </si>
  <si>
    <t>TOTAL GENERAL CRIOCORD</t>
  </si>
  <si>
    <t>VENTA</t>
  </si>
  <si>
    <t>PROSPECTOS</t>
  </si>
  <si>
    <t>ONLINE</t>
  </si>
  <si>
    <t>REPORTE DE VISITAS AL MES - ENERO</t>
  </si>
  <si>
    <t>OFFLINE</t>
  </si>
  <si>
    <t>SECRETARIA</t>
  </si>
  <si>
    <t>OBSTETRAS</t>
  </si>
  <si>
    <t>MARCAS</t>
  </si>
  <si>
    <t>ADLER (LIMA)</t>
  </si>
  <si>
    <t>CLINICA</t>
  </si>
  <si>
    <t>CORTE AL 30/01/2026</t>
  </si>
  <si>
    <t xml:space="preserve">SANTA ISABEL </t>
  </si>
  <si>
    <t>CL INTERNACIONAL SAN BORJA</t>
  </si>
  <si>
    <t>CENTENARIO PERUANO JAPONESA</t>
  </si>
  <si>
    <t xml:space="preserve">POLICLÍNICO DANIEL ALCIDES CARRION </t>
  </si>
  <si>
    <t>CLINICA DELGADO</t>
  </si>
  <si>
    <t>SANNA SAN BORJA</t>
  </si>
  <si>
    <t>CLINICA JESUS DEL NORTE</t>
  </si>
  <si>
    <t>CLINICA SAN PABLO AREQUIPA</t>
  </si>
  <si>
    <t>EL GOLF</t>
  </si>
  <si>
    <t xml:space="preserve">RICARDO PALMA </t>
  </si>
  <si>
    <t>CLINICA MAISON DE SANTE</t>
  </si>
  <si>
    <t>CLINICA SAN JUAN DE DIOS</t>
  </si>
  <si>
    <t>ANGLOAMERICANA</t>
  </si>
  <si>
    <t>CL SAN PABLO</t>
  </si>
  <si>
    <t>CLINICA SANTA MARTHA DEL SUR</t>
  </si>
  <si>
    <t>CLINICA EMMEL</t>
  </si>
  <si>
    <t>GOOD HOPE</t>
  </si>
  <si>
    <t>MONTESUR</t>
  </si>
  <si>
    <t>MATERNIDAD DE LIMA</t>
  </si>
  <si>
    <t>AUNA VALLE SUR AREQUIPA</t>
  </si>
  <si>
    <t>CLINICA MIRAFLORES</t>
  </si>
  <si>
    <t>CLÍNICA JAVIER PRADO</t>
  </si>
  <si>
    <t>ESSALUD LIMA EDGARDO REBAGLIATI</t>
  </si>
  <si>
    <t xml:space="preserve">CLINICA SANNA AREQUIPA </t>
  </si>
  <si>
    <t>SAN FELIPE</t>
  </si>
  <si>
    <t>AUNA GUARDIA CIVIL</t>
  </si>
  <si>
    <t>CLINICA SAN JUDAS TADEO</t>
  </si>
  <si>
    <t xml:space="preserve">POLICLÍNICO ESSALUD YANAHUARA </t>
  </si>
  <si>
    <t xml:space="preserve">LIMATAMBO </t>
  </si>
  <si>
    <t>PADRE LUIS TEZZA</t>
  </si>
  <si>
    <t>STELLA MARIS</t>
  </si>
  <si>
    <t>CLINICA AREQUIPA</t>
  </si>
  <si>
    <t>SANNA EL GOLF</t>
  </si>
  <si>
    <t>MONTERRICO</t>
  </si>
  <si>
    <t>CLINICA SAN GABRIEL</t>
  </si>
  <si>
    <t>SP CERRO COLORADO AREQUIPA</t>
  </si>
  <si>
    <t>VESALIO</t>
  </si>
  <si>
    <t xml:space="preserve">MONTERRICO </t>
  </si>
  <si>
    <t>AVIVA SEDE MENDIOLA</t>
  </si>
  <si>
    <t>CLINICA AUNA VALLESUR</t>
  </si>
  <si>
    <t>SANNA CHACARILLA</t>
  </si>
  <si>
    <t>CAYETANO HEREDIA LIMA</t>
  </si>
  <si>
    <t>ASOCIACION PAZ HOLANDESA AREQUIPA</t>
  </si>
  <si>
    <t xml:space="preserve">SANNA SAN BORJA </t>
  </si>
  <si>
    <t xml:space="preserve">CLÍNICA GONZÁLEZ </t>
  </si>
  <si>
    <t xml:space="preserve">GYNETAL   AV. JESUS 702 </t>
  </si>
  <si>
    <t>SAN FELIPE LA MOLINA</t>
  </si>
  <si>
    <t>PROVIDENCIA</t>
  </si>
  <si>
    <t>SAN JUAN DE DIOS AREQUIPA</t>
  </si>
  <si>
    <t>INTERNACIONAL SURCO</t>
  </si>
  <si>
    <t xml:space="preserve">CONSULTORIO PARTICULAR </t>
  </si>
  <si>
    <t xml:space="preserve">CLINICA MELO DE REPRODUCCIÓN Y GENÉTICA </t>
  </si>
  <si>
    <t>SANNA LA MOLINA</t>
  </si>
  <si>
    <t>CONSULTORIO PARTICULAR</t>
  </si>
  <si>
    <t>JOCKEY SALUD</t>
  </si>
  <si>
    <t>CORTESIAS</t>
  </si>
  <si>
    <t>REPORTE DE VISITAS AL MES - FEBRERO</t>
  </si>
  <si>
    <t>CORTE AL 28/02/2026</t>
  </si>
  <si>
    <t>CLÍNICA MONTEFIORI</t>
  </si>
  <si>
    <t>HOGAR DE LA MADRE</t>
  </si>
  <si>
    <t>CLÍNICA INTERNACIONAL LIMA</t>
  </si>
  <si>
    <t>CLINICA CORI</t>
  </si>
  <si>
    <t>LUIS</t>
  </si>
  <si>
    <t>REPORTE DE VISITAS AL MES - MARZO</t>
  </si>
  <si>
    <t>CORTE AL 31/03/2026</t>
  </si>
  <si>
    <t>VELIA (AQP)</t>
  </si>
  <si>
    <t xml:space="preserve">CONSULTORIO PARTICULAR- JOSE ANTONIO ENCINAS 141 </t>
  </si>
  <si>
    <t>CONCEBIR NORTE</t>
  </si>
  <si>
    <t>GESTAR IN VITRO</t>
  </si>
  <si>
    <t>NIU VIDA</t>
  </si>
  <si>
    <t>PRANOR</t>
  </si>
  <si>
    <t>CLINICA MONTEFIORI</t>
  </si>
  <si>
    <t>CLÍNICA CORI</t>
  </si>
  <si>
    <t>INMATER</t>
  </si>
  <si>
    <t xml:space="preserve">CENTRO MÉDICO MADRE SELVA </t>
  </si>
  <si>
    <t>FERTIVIDA</t>
  </si>
  <si>
    <t>INSTITUTO DE FERTILIDAD</t>
  </si>
  <si>
    <t>GERMINAR</t>
  </si>
  <si>
    <t>CONCEBIR</t>
  </si>
  <si>
    <t>CONCEBIR - BREÑA</t>
  </si>
  <si>
    <t>CEFRA</t>
  </si>
  <si>
    <t>CORDON</t>
  </si>
  <si>
    <t>MYPRENATAL</t>
  </si>
  <si>
    <t>CORTE AL 30/04</t>
  </si>
  <si>
    <t xml:space="preserve">HOSPITAL NAVAL </t>
  </si>
  <si>
    <t>HOSPITAL FAP</t>
  </si>
  <si>
    <t>VENTA VS PROSPECCION POR CANAL</t>
  </si>
  <si>
    <t>CORTE AL 18/05</t>
  </si>
  <si>
    <t>CLINICA EL GOLF</t>
  </si>
  <si>
    <t xml:space="preserve">CLINICA SANTA ISABEL </t>
  </si>
  <si>
    <t xml:space="preserve">CLINICA RICARDO PALMA </t>
  </si>
  <si>
    <t>CLINICA INTERNACIONAL SAN BORJA</t>
  </si>
  <si>
    <t>CLINICA GOOD HOPE</t>
  </si>
  <si>
    <t>CLINICA  SAN BORJA</t>
  </si>
  <si>
    <t>CLINICA MONTESUR</t>
  </si>
  <si>
    <t>CLINICA JAVIER PRADO</t>
  </si>
  <si>
    <t>CLINICA ANGLOAMERICANA</t>
  </si>
  <si>
    <t>CLINICA MONTERRICO</t>
  </si>
  <si>
    <t>CLINICA SAN FELIPE JESUS MARIA</t>
  </si>
  <si>
    <t>CLINICA VESALIO</t>
  </si>
  <si>
    <t xml:space="preserve">CLINICA GONZÁLEZ </t>
  </si>
  <si>
    <t>CLINICA  SAN PABLO</t>
  </si>
  <si>
    <t>CLINICA PADRE LUIS TEZZA</t>
  </si>
  <si>
    <t>DR BUHO</t>
  </si>
  <si>
    <t>CLINICA PROVIDENCIA</t>
  </si>
  <si>
    <t>(en blanco)</t>
  </si>
  <si>
    <t xml:space="preserve">CLINICA LIMATAMBO </t>
  </si>
  <si>
    <t>CLINICA AVIVA</t>
  </si>
  <si>
    <t>CLINICA AUNA GUARDIA CIVIL</t>
  </si>
  <si>
    <t xml:space="preserve">CLINICA CENTENARIO </t>
  </si>
  <si>
    <t>CLINICA SAN FELIPE LA MOLINA</t>
  </si>
  <si>
    <t>CLIINICA CAYETANO HEREDIA</t>
  </si>
  <si>
    <t>CLINICA INTERNACIONAL SURCO</t>
  </si>
  <si>
    <t>CLINICA INTERNACIONAL LIMA</t>
  </si>
  <si>
    <t>CLINICA STELLA MARIS</t>
  </si>
  <si>
    <t>SEC</t>
  </si>
  <si>
    <t>MED</t>
  </si>
  <si>
    <t>OBS</t>
  </si>
  <si>
    <t>Etiqueta</t>
  </si>
  <si>
    <t>Clinicas</t>
  </si>
  <si>
    <t>total medicos</t>
  </si>
  <si>
    <t>panel</t>
  </si>
  <si>
    <t>Secretaria</t>
  </si>
  <si>
    <t>Médicos</t>
  </si>
  <si>
    <t>Obstetras</t>
  </si>
  <si>
    <t>Enero</t>
  </si>
  <si>
    <t>Milagritos: 206</t>
  </si>
  <si>
    <t>abril</t>
  </si>
  <si>
    <t>Febrero</t>
  </si>
  <si>
    <t>Marzo</t>
  </si>
  <si>
    <t>Abril</t>
  </si>
  <si>
    <t>Mayo</t>
  </si>
  <si>
    <t>LAZO</t>
  </si>
  <si>
    <t>abr</t>
  </si>
  <si>
    <t>ADLER LIM</t>
  </si>
  <si>
    <t>VELIA ARE</t>
  </si>
  <si>
    <t>AUNA VALLESUR AREQUIPA</t>
  </si>
  <si>
    <t>MAISON DE SANTE SURCO</t>
  </si>
  <si>
    <t>CLINICA LA LUZ</t>
  </si>
  <si>
    <t>CLINICA SANNA AREQUIPA</t>
  </si>
  <si>
    <t>CLÍNICA GONZÁLEZ</t>
  </si>
  <si>
    <t>CLINICA MELO DE REPRODUCCIÓN Y GENÉTICA</t>
  </si>
  <si>
    <t>SP SAN GABRIEL</t>
  </si>
  <si>
    <t>CLINICA AUNA</t>
  </si>
  <si>
    <t>CLINIFER</t>
  </si>
  <si>
    <t>CLINICA LIMATAMBO SJL</t>
  </si>
  <si>
    <t>CLINICA SAN JUAN BAUTISTA</t>
  </si>
  <si>
    <t>CENTRO MEDICO DORCAS</t>
  </si>
  <si>
    <t>Cordones</t>
  </si>
  <si>
    <t>Tamizajes</t>
  </si>
  <si>
    <t>CLINICA UNION</t>
  </si>
  <si>
    <t>Milagritos: 11</t>
  </si>
  <si>
    <t>MAISON DE SANTE LIMA</t>
  </si>
  <si>
    <t>Alejandra</t>
  </si>
  <si>
    <t>Renzo</t>
  </si>
  <si>
    <t>CLINICA METROPOLITANO</t>
  </si>
  <si>
    <t>Adler</t>
  </si>
  <si>
    <t>CENTRO MEDICO LUNA VICTORIA</t>
  </si>
  <si>
    <t>Velia</t>
  </si>
  <si>
    <t>MAISON DE SANTE</t>
  </si>
  <si>
    <t>CENTROMEDICO SALUD MADRE Y MUJER</t>
  </si>
  <si>
    <t>mayo</t>
  </si>
  <si>
    <t>CLINICA DEL PACÍFICO</t>
  </si>
  <si>
    <t>ICTC</t>
  </si>
  <si>
    <t>prospeccion mkt</t>
  </si>
  <si>
    <t>LDV</t>
  </si>
  <si>
    <t>Criocord</t>
  </si>
  <si>
    <t>FEBRERO</t>
  </si>
  <si>
    <t>INGRESADO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</si>
</sst>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1"/>
      <color theme="0"/>
      <name val="Calibri"/>
    </font>
    <font>
      <sz val="9"/>
      <color theme="1"/>
      <name val="Aptos Narrow"/>
      <family val="2"/>
      <scheme val="minor"/>
    </font>
    <font>
      <b/>
      <sz val="9"/>
      <color theme="0"/>
      <name val="Calibri"/>
    </font>
    <font>
      <b/>
      <sz val="9"/>
      <color rgb="FFFFFFFF"/>
      <name val="Aptos Narrow"/>
    </font>
    <font>
      <b/>
      <sz val="9"/>
      <name val="Calibri"/>
    </font>
    <font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B9BD5"/>
        <bgColor rgb="FF5B9BD5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/>
    <xf numFmtId="0" fontId="1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3" xfId="0" applyFont="1" applyBorder="1"/>
    <xf numFmtId="0" fontId="2" fillId="0" borderId="17" xfId="0" applyFont="1" applyBorder="1" applyAlignment="1">
      <alignment horizontal="center"/>
    </xf>
    <xf numFmtId="0" fontId="1" fillId="0" borderId="16" xfId="0" applyFont="1" applyBorder="1"/>
    <xf numFmtId="0" fontId="1" fillId="0" borderId="8" xfId="0" applyFont="1" applyBorder="1"/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2" fillId="4" borderId="1" xfId="0" applyFont="1" applyFill="1" applyBorder="1"/>
    <xf numFmtId="0" fontId="6" fillId="2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0" fillId="0" borderId="18" xfId="0" applyFont="1" applyBorder="1"/>
    <xf numFmtId="0" fontId="11" fillId="0" borderId="18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0" borderId="0" xfId="0" applyFont="1"/>
    <xf numFmtId="164" fontId="2" fillId="4" borderId="0" xfId="0" applyNumberFormat="1" applyFont="1" applyFill="1"/>
    <xf numFmtId="0" fontId="4" fillId="4" borderId="2" xfId="0" applyFont="1" applyFill="1" applyBorder="1"/>
    <xf numFmtId="0" fontId="4" fillId="4" borderId="1" xfId="0" applyFont="1" applyFill="1" applyBorder="1"/>
    <xf numFmtId="0" fontId="2" fillId="4" borderId="10" xfId="0" applyFont="1" applyFill="1" applyBorder="1"/>
    <xf numFmtId="0" fontId="4" fillId="4" borderId="12" xfId="0" applyFont="1" applyFill="1" applyBorder="1"/>
    <xf numFmtId="0" fontId="6" fillId="2" borderId="20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" fillId="0" borderId="11" xfId="0" applyFont="1" applyBorder="1"/>
    <xf numFmtId="0" fontId="1" fillId="0" borderId="21" xfId="0" applyFont="1" applyBorder="1"/>
    <xf numFmtId="0" fontId="1" fillId="0" borderId="22" xfId="0" applyFont="1" applyBorder="1"/>
    <xf numFmtId="0" fontId="6" fillId="2" borderId="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0" fontId="2" fillId="4" borderId="1" xfId="0" applyNumberFormat="1" applyFont="1" applyFill="1" applyBorder="1"/>
    <xf numFmtId="0" fontId="4" fillId="4" borderId="1" xfId="0" applyFont="1" applyFill="1" applyBorder="1" applyAlignment="1">
      <alignment horizontal="right"/>
    </xf>
    <xf numFmtId="0" fontId="4" fillId="4" borderId="8" xfId="0" applyFont="1" applyFill="1" applyBorder="1" applyAlignment="1">
      <alignment horizontal="right"/>
    </xf>
    <xf numFmtId="0" fontId="2" fillId="4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6" fontId="9" fillId="7" borderId="18" xfId="0" applyNumberFormat="1" applyFont="1" applyFill="1" applyBorder="1" applyAlignment="1">
      <alignment horizontal="center" vertical="center" wrapText="1"/>
    </xf>
    <xf numFmtId="16" fontId="9" fillId="7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BA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CF49-A9F9-470F-AFF7-6E56111C41BE}">
  <dimension ref="A1:AD133"/>
  <sheetViews>
    <sheetView zoomScale="70" zoomScaleNormal="70" workbookViewId="0">
      <selection activeCell="V32" sqref="V32"/>
    </sheetView>
  </sheetViews>
  <sheetFormatPr defaultColWidth="9.140625" defaultRowHeight="15" customHeight="1"/>
  <cols>
    <col min="1" max="1" width="9.140625" style="4"/>
    <col min="2" max="2" width="21" style="5" customWidth="1"/>
    <col min="3" max="3" width="19.7109375" style="5" customWidth="1"/>
    <col min="4" max="4" width="23" style="5" customWidth="1"/>
    <col min="5" max="6" width="20.7109375" style="19" customWidth="1"/>
    <col min="7" max="7" width="5.140625" style="4" customWidth="1"/>
    <col min="8" max="9" width="19.7109375" style="5" customWidth="1"/>
    <col min="10" max="10" width="18.7109375" style="5" customWidth="1"/>
    <col min="11" max="11" width="4.85546875" style="19" customWidth="1"/>
    <col min="12" max="12" width="19.7109375" style="19" customWidth="1"/>
    <col min="13" max="13" width="14.5703125" style="4" customWidth="1"/>
    <col min="14" max="14" width="14.5703125" style="5" customWidth="1"/>
    <col min="15" max="16" width="14.5703125" style="19" customWidth="1"/>
    <col min="17" max="17" width="14.5703125" style="4" customWidth="1"/>
    <col min="18" max="18" width="14.5703125" style="5" customWidth="1"/>
    <col min="19" max="20" width="16.7109375" style="5" customWidth="1"/>
    <col min="21" max="26" width="9.140625" style="4"/>
    <col min="27" max="16384" width="9.140625" style="5"/>
  </cols>
  <sheetData>
    <row r="1" spans="2:30" s="4" customFormat="1" ht="39" customHeight="1">
      <c r="B1" s="83" t="s">
        <v>0</v>
      </c>
      <c r="C1" s="83"/>
      <c r="D1" s="67"/>
      <c r="E1" s="67"/>
      <c r="F1" s="67"/>
      <c r="H1" s="67" t="s">
        <v>1</v>
      </c>
      <c r="I1" s="67"/>
      <c r="J1" s="67"/>
      <c r="L1" s="84"/>
      <c r="M1" s="84"/>
      <c r="N1" s="84"/>
      <c r="O1" s="84"/>
    </row>
    <row r="2" spans="2:30" ht="18" customHeight="1">
      <c r="B2" s="70" t="s">
        <v>2</v>
      </c>
      <c r="C2" s="71"/>
      <c r="D2" s="22" t="s">
        <v>3</v>
      </c>
      <c r="E2" s="21" t="s">
        <v>4</v>
      </c>
      <c r="F2" s="21" t="s">
        <v>5</v>
      </c>
      <c r="H2" s="85" t="s">
        <v>6</v>
      </c>
      <c r="I2" s="86"/>
      <c r="J2" s="87"/>
      <c r="K2" s="4"/>
      <c r="L2" s="76" t="s">
        <v>7</v>
      </c>
      <c r="M2" s="68"/>
      <c r="N2" s="68"/>
      <c r="O2" s="4"/>
      <c r="P2" s="4"/>
      <c r="Q2" s="64" t="s">
        <v>8</v>
      </c>
      <c r="R2" s="65" t="s">
        <v>9</v>
      </c>
      <c r="S2" s="4"/>
      <c r="T2" s="4"/>
      <c r="U2" s="64" t="s">
        <v>10</v>
      </c>
      <c r="V2" s="65" t="s">
        <v>9</v>
      </c>
      <c r="Y2" s="64" t="s">
        <v>11</v>
      </c>
      <c r="Z2" s="65" t="s">
        <v>9</v>
      </c>
      <c r="AA2" s="4"/>
      <c r="AB2" s="4"/>
      <c r="AC2" s="64" t="s">
        <v>12</v>
      </c>
      <c r="AD2" s="65" t="s">
        <v>9</v>
      </c>
    </row>
    <row r="3" spans="2:30" ht="15.75" customHeight="1">
      <c r="B3" s="72"/>
      <c r="C3" s="73"/>
      <c r="D3" s="6" t="s">
        <v>13</v>
      </c>
      <c r="E3" s="7">
        <v>124</v>
      </c>
      <c r="F3" s="7">
        <v>90</v>
      </c>
      <c r="H3" s="28" t="s">
        <v>14</v>
      </c>
      <c r="I3" s="29" t="s">
        <v>15</v>
      </c>
      <c r="J3" s="30" t="s">
        <v>16</v>
      </c>
      <c r="K3" s="4"/>
      <c r="L3" s="26" t="s">
        <v>17</v>
      </c>
      <c r="M3" s="26" t="s">
        <v>18</v>
      </c>
      <c r="N3" s="26" t="s">
        <v>16</v>
      </c>
      <c r="O3" s="4"/>
      <c r="P3" s="50" t="s">
        <v>19</v>
      </c>
      <c r="Q3" s="66">
        <f>N4</f>
        <v>54</v>
      </c>
      <c r="R3" s="63">
        <f>Q3/Q5</f>
        <v>0.65853658536585369</v>
      </c>
      <c r="S3" s="4"/>
      <c r="T3" s="50" t="s">
        <v>19</v>
      </c>
      <c r="U3" s="66">
        <f>M5</f>
        <v>21</v>
      </c>
      <c r="V3" s="63">
        <f>U3/U5</f>
        <v>0.7</v>
      </c>
      <c r="X3" s="50" t="s">
        <v>19</v>
      </c>
      <c r="Y3" s="66">
        <f>N6</f>
        <v>22</v>
      </c>
      <c r="Z3" s="63">
        <f>Y3/Y5</f>
        <v>0.81481481481481477</v>
      </c>
      <c r="AA3" s="4"/>
      <c r="AB3" s="50" t="s">
        <v>19</v>
      </c>
      <c r="AC3" s="66">
        <f>N7</f>
        <v>0</v>
      </c>
      <c r="AD3" s="63">
        <f>AC3/AC5</f>
        <v>0</v>
      </c>
    </row>
    <row r="4" spans="2:30" ht="15.75" customHeight="1">
      <c r="B4" s="72"/>
      <c r="C4" s="73"/>
      <c r="D4" s="6" t="s">
        <v>20</v>
      </c>
      <c r="E4" s="7">
        <v>128</v>
      </c>
      <c r="F4" s="7">
        <v>90</v>
      </c>
      <c r="H4" s="2" t="s">
        <v>21</v>
      </c>
      <c r="I4" s="7">
        <v>115</v>
      </c>
      <c r="J4" s="25">
        <f>SUM(I4)</f>
        <v>115</v>
      </c>
      <c r="K4" s="4"/>
      <c r="L4" s="2" t="s">
        <v>22</v>
      </c>
      <c r="M4" s="8">
        <v>54</v>
      </c>
      <c r="N4" s="9">
        <f>SUM(M4:M4)</f>
        <v>54</v>
      </c>
      <c r="O4" s="4"/>
      <c r="P4" s="53" t="s">
        <v>23</v>
      </c>
      <c r="Q4" s="33">
        <v>28</v>
      </c>
      <c r="R4" s="63">
        <f>Q4/Q5</f>
        <v>0.34146341463414637</v>
      </c>
      <c r="S4" s="4"/>
      <c r="T4" s="53" t="s">
        <v>23</v>
      </c>
      <c r="U4" s="33">
        <f>R13</f>
        <v>9</v>
      </c>
      <c r="V4" s="63">
        <f>U4/U5</f>
        <v>0.3</v>
      </c>
      <c r="X4" s="53" t="s">
        <v>23</v>
      </c>
      <c r="Y4" s="33">
        <f>R14</f>
        <v>5</v>
      </c>
      <c r="Z4" s="63">
        <f>Y4/Y5</f>
        <v>0.18518518518518517</v>
      </c>
      <c r="AA4" s="4"/>
      <c r="AB4" s="53" t="s">
        <v>23</v>
      </c>
      <c r="AC4" s="33">
        <f>U23</f>
        <v>2</v>
      </c>
      <c r="AD4" s="63">
        <f>AC4/AC5</f>
        <v>1</v>
      </c>
    </row>
    <row r="5" spans="2:30" ht="15.75" customHeight="1">
      <c r="B5" s="72"/>
      <c r="C5" s="73"/>
      <c r="D5" s="6" t="s">
        <v>24</v>
      </c>
      <c r="E5" s="7">
        <v>431</v>
      </c>
      <c r="F5" s="7">
        <v>256</v>
      </c>
      <c r="H5" s="31" t="s">
        <v>25</v>
      </c>
      <c r="I5" s="32">
        <f>SUM(I4)</f>
        <v>115</v>
      </c>
      <c r="J5" s="30">
        <f>SUM(J4)</f>
        <v>115</v>
      </c>
      <c r="K5" s="4"/>
      <c r="L5" s="2" t="s">
        <v>26</v>
      </c>
      <c r="M5" s="8">
        <v>21</v>
      </c>
      <c r="N5" s="9">
        <f>SUM(M5:M5)</f>
        <v>21</v>
      </c>
      <c r="O5" s="4"/>
      <c r="P5" s="51" t="s">
        <v>16</v>
      </c>
      <c r="Q5" s="52">
        <f>Q3+Q4</f>
        <v>82</v>
      </c>
      <c r="R5" s="33">
        <v>100</v>
      </c>
      <c r="S5" s="4"/>
      <c r="T5" s="51" t="s">
        <v>16</v>
      </c>
      <c r="U5" s="52">
        <f>U3+U4</f>
        <v>30</v>
      </c>
      <c r="V5" s="33">
        <v>100</v>
      </c>
      <c r="X5" s="51" t="s">
        <v>16</v>
      </c>
      <c r="Y5" s="52">
        <f>Y3+Y4</f>
        <v>27</v>
      </c>
      <c r="Z5" s="33">
        <v>100</v>
      </c>
      <c r="AA5" s="4"/>
      <c r="AB5" s="51" t="s">
        <v>16</v>
      </c>
      <c r="AC5" s="52">
        <f>AC3+AC4</f>
        <v>2</v>
      </c>
      <c r="AD5" s="33">
        <v>100</v>
      </c>
    </row>
    <row r="6" spans="2:30" ht="15.75" customHeight="1">
      <c r="B6" s="72"/>
      <c r="C6" s="73"/>
      <c r="D6" s="6" t="s">
        <v>27</v>
      </c>
      <c r="E6" s="7">
        <v>153</v>
      </c>
      <c r="F6" s="7">
        <v>135</v>
      </c>
      <c r="H6" s="10"/>
      <c r="I6" s="3"/>
      <c r="J6" s="3"/>
      <c r="K6" s="4"/>
      <c r="L6" s="2" t="s">
        <v>28</v>
      </c>
      <c r="M6" s="8">
        <v>22</v>
      </c>
      <c r="N6" s="9">
        <f>SUM(M6:M6)</f>
        <v>22</v>
      </c>
      <c r="O6" s="4"/>
      <c r="P6" s="4"/>
      <c r="R6" s="4"/>
      <c r="S6" s="4"/>
      <c r="T6" s="4"/>
      <c r="AA6" s="4"/>
      <c r="AB6" s="4"/>
      <c r="AC6" s="4"/>
    </row>
    <row r="7" spans="2:30" ht="15.75" customHeight="1">
      <c r="B7" s="72"/>
      <c r="C7" s="73"/>
      <c r="D7" s="6" t="s">
        <v>29</v>
      </c>
      <c r="E7" s="7">
        <v>202</v>
      </c>
      <c r="F7" s="7">
        <v>160</v>
      </c>
      <c r="H7" s="10"/>
      <c r="I7" s="3"/>
      <c r="J7" s="3"/>
      <c r="K7" s="4"/>
      <c r="L7" s="2" t="s">
        <v>1</v>
      </c>
      <c r="M7" s="8">
        <v>0</v>
      </c>
      <c r="N7" s="9">
        <f>SUM(M7:M7)</f>
        <v>0</v>
      </c>
      <c r="O7" s="4"/>
      <c r="P7" s="4"/>
      <c r="R7" s="4"/>
      <c r="S7" s="4"/>
      <c r="T7" s="4"/>
      <c r="AA7" s="4"/>
      <c r="AB7" s="4"/>
      <c r="AC7" s="4"/>
    </row>
    <row r="8" spans="2:30" ht="15.75" customHeight="1">
      <c r="B8" s="74"/>
      <c r="C8" s="75"/>
      <c r="D8" s="24" t="s">
        <v>30</v>
      </c>
      <c r="E8" s="23">
        <f>SUM(E3:E7)</f>
        <v>1038</v>
      </c>
      <c r="F8" s="23">
        <f>SUM(F3:F7)</f>
        <v>731</v>
      </c>
      <c r="H8" s="4"/>
      <c r="I8" s="4"/>
      <c r="J8" s="10"/>
      <c r="K8" s="4"/>
      <c r="L8" s="27" t="s">
        <v>31</v>
      </c>
      <c r="M8" s="27">
        <f>SUM(M4:M7)</f>
        <v>97</v>
      </c>
      <c r="N8" s="27">
        <f>SUM(N4:N7)</f>
        <v>97</v>
      </c>
      <c r="O8" s="4"/>
      <c r="P8" s="4"/>
      <c r="R8" s="4"/>
      <c r="S8" s="4"/>
      <c r="T8" s="4"/>
      <c r="AA8" s="4"/>
      <c r="AB8" s="4"/>
      <c r="AC8" s="4"/>
    </row>
    <row r="9" spans="2:30" ht="15.75" customHeight="1">
      <c r="B9" s="70" t="s">
        <v>32</v>
      </c>
      <c r="C9" s="71"/>
      <c r="D9" s="22" t="s">
        <v>33</v>
      </c>
      <c r="E9" s="21" t="s">
        <v>4</v>
      </c>
      <c r="F9" s="21" t="s">
        <v>5</v>
      </c>
      <c r="H9" s="4"/>
      <c r="I9" s="4"/>
      <c r="J9" s="10"/>
      <c r="K9" s="4"/>
      <c r="L9" s="4"/>
      <c r="N9" s="4"/>
      <c r="O9" s="4"/>
      <c r="P9" s="4"/>
      <c r="R9" s="4"/>
      <c r="S9" s="4"/>
      <c r="T9" s="4"/>
      <c r="AA9" s="4"/>
      <c r="AB9" s="4"/>
      <c r="AC9" s="4"/>
    </row>
    <row r="10" spans="2:30" ht="15.75" customHeight="1">
      <c r="B10" s="72"/>
      <c r="C10" s="73"/>
      <c r="D10" s="6" t="s">
        <v>34</v>
      </c>
      <c r="E10" s="7">
        <v>159</v>
      </c>
      <c r="F10" s="7">
        <v>126</v>
      </c>
      <c r="H10" s="4"/>
      <c r="I10" s="10"/>
      <c r="J10" s="4"/>
      <c r="K10" s="4"/>
      <c r="L10" s="81" t="s">
        <v>35</v>
      </c>
      <c r="M10" s="82"/>
      <c r="N10" s="82"/>
      <c r="O10" s="82"/>
      <c r="S10" s="4"/>
      <c r="T10" s="4"/>
      <c r="AA10" s="4"/>
      <c r="AB10" s="4"/>
      <c r="AC10" s="4"/>
    </row>
    <row r="11" spans="2:30" ht="15.75" customHeight="1">
      <c r="B11" s="72"/>
      <c r="C11" s="73"/>
      <c r="D11" s="6" t="s">
        <v>36</v>
      </c>
      <c r="E11" s="7">
        <v>203</v>
      </c>
      <c r="F11" s="7">
        <v>172</v>
      </c>
      <c r="H11" s="4"/>
      <c r="I11" s="10"/>
      <c r="J11" s="4"/>
      <c r="K11" s="4"/>
      <c r="L11" s="26" t="s">
        <v>17</v>
      </c>
      <c r="M11" s="26" t="s">
        <v>13</v>
      </c>
      <c r="N11" s="26" t="s">
        <v>20</v>
      </c>
      <c r="O11" s="26" t="s">
        <v>27</v>
      </c>
      <c r="P11" s="26" t="s">
        <v>37</v>
      </c>
      <c r="Q11" s="26" t="s">
        <v>38</v>
      </c>
      <c r="R11" s="26" t="s">
        <v>16</v>
      </c>
      <c r="T11" s="49"/>
      <c r="AA11" s="4"/>
      <c r="AB11" s="4"/>
      <c r="AC11" s="4"/>
    </row>
    <row r="12" spans="2:30" ht="15.75" customHeight="1">
      <c r="B12" s="72"/>
      <c r="C12" s="73"/>
      <c r="D12" s="6" t="s">
        <v>39</v>
      </c>
      <c r="E12" s="7">
        <v>147</v>
      </c>
      <c r="F12" s="7">
        <v>97</v>
      </c>
      <c r="H12" s="4"/>
      <c r="I12" s="10"/>
      <c r="J12" s="4"/>
      <c r="K12" s="4"/>
      <c r="L12" s="11" t="s">
        <v>22</v>
      </c>
      <c r="M12" s="8">
        <v>13</v>
      </c>
      <c r="N12" s="8">
        <v>4</v>
      </c>
      <c r="O12" s="20">
        <v>5</v>
      </c>
      <c r="P12" s="8">
        <v>2</v>
      </c>
      <c r="Q12" s="8">
        <v>2</v>
      </c>
      <c r="R12" s="8">
        <f>SUM(M12:Q12)</f>
        <v>26</v>
      </c>
      <c r="T12" s="49"/>
      <c r="AA12" s="4"/>
      <c r="AB12" s="4"/>
      <c r="AC12" s="4"/>
    </row>
    <row r="13" spans="2:30" ht="15.75" customHeight="1">
      <c r="B13" s="72"/>
      <c r="C13" s="73"/>
      <c r="D13" s="6" t="s">
        <v>40</v>
      </c>
      <c r="E13" s="7">
        <v>90</v>
      </c>
      <c r="F13" s="7">
        <v>69</v>
      </c>
      <c r="H13" s="4"/>
      <c r="I13" s="10"/>
      <c r="J13" s="4"/>
      <c r="K13" s="4"/>
      <c r="L13" s="11" t="s">
        <v>26</v>
      </c>
      <c r="M13" s="12">
        <v>5</v>
      </c>
      <c r="N13" s="12">
        <v>1</v>
      </c>
      <c r="O13" s="12">
        <v>2</v>
      </c>
      <c r="P13" s="12">
        <v>1</v>
      </c>
      <c r="Q13" s="12">
        <v>0</v>
      </c>
      <c r="R13" s="8">
        <f t="shared" ref="R13:R15" si="0">SUM(M13:Q13)</f>
        <v>9</v>
      </c>
      <c r="T13" s="4"/>
      <c r="AA13" s="4"/>
      <c r="AB13" s="4"/>
      <c r="AC13" s="4"/>
    </row>
    <row r="14" spans="2:30" ht="15.75" customHeight="1">
      <c r="B14" s="72"/>
      <c r="C14" s="73"/>
      <c r="D14" s="6" t="s">
        <v>41</v>
      </c>
      <c r="E14" s="7">
        <v>158</v>
      </c>
      <c r="F14" s="7">
        <v>134</v>
      </c>
      <c r="H14" s="4"/>
      <c r="I14" s="10"/>
      <c r="J14" s="4"/>
      <c r="K14" s="4"/>
      <c r="L14" s="13" t="s">
        <v>28</v>
      </c>
      <c r="M14" s="7">
        <v>3</v>
      </c>
      <c r="N14" s="7">
        <v>0</v>
      </c>
      <c r="O14" s="7">
        <v>2</v>
      </c>
      <c r="P14" s="7">
        <v>0</v>
      </c>
      <c r="Q14" s="7">
        <v>0</v>
      </c>
      <c r="R14" s="8">
        <f t="shared" si="0"/>
        <v>5</v>
      </c>
      <c r="T14" s="4"/>
      <c r="AA14" s="4"/>
      <c r="AB14" s="4"/>
      <c r="AC14" s="4"/>
    </row>
    <row r="15" spans="2:30" ht="15.75" customHeight="1">
      <c r="B15" s="72"/>
      <c r="C15" s="73"/>
      <c r="D15" s="6" t="s">
        <v>42</v>
      </c>
      <c r="E15" s="7">
        <v>199</v>
      </c>
      <c r="F15" s="7">
        <v>163</v>
      </c>
      <c r="H15" s="4"/>
      <c r="I15" s="10"/>
      <c r="J15" s="4"/>
      <c r="K15" s="4"/>
      <c r="L15" s="13" t="s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</v>
      </c>
      <c r="T15" s="4"/>
      <c r="AA15" s="4"/>
      <c r="AB15" s="4"/>
      <c r="AC15" s="4"/>
    </row>
    <row r="16" spans="2:30" ht="15.75" customHeight="1">
      <c r="B16" s="72"/>
      <c r="C16" s="73"/>
      <c r="D16" s="6" t="s">
        <v>43</v>
      </c>
      <c r="E16" s="7">
        <v>141</v>
      </c>
      <c r="F16" s="7">
        <v>116</v>
      </c>
      <c r="H16" s="4"/>
      <c r="I16" s="10"/>
      <c r="J16" s="4"/>
      <c r="K16" s="4"/>
      <c r="L16" s="27" t="s">
        <v>31</v>
      </c>
      <c r="M16" s="27">
        <f>SUM(M12:M15)</f>
        <v>21</v>
      </c>
      <c r="N16" s="27">
        <f>SUM(N12:N15)</f>
        <v>5</v>
      </c>
      <c r="O16" s="27">
        <f>SUM(O12:O15)</f>
        <v>9</v>
      </c>
      <c r="P16" s="27">
        <f>SUM(P12:P15)</f>
        <v>3</v>
      </c>
      <c r="Q16" s="27">
        <f>SUM(Q12:Q15)</f>
        <v>2</v>
      </c>
      <c r="R16" s="27">
        <f>SUM(R12:R15)</f>
        <v>40</v>
      </c>
      <c r="T16" s="4"/>
      <c r="AA16" s="4"/>
      <c r="AB16" s="4"/>
      <c r="AC16" s="4"/>
    </row>
    <row r="17" spans="2:29" ht="15.75" customHeight="1">
      <c r="B17" s="74"/>
      <c r="C17" s="75"/>
      <c r="D17" s="24" t="s">
        <v>30</v>
      </c>
      <c r="E17" s="23">
        <f>SUM(E10:E16)</f>
        <v>1097</v>
      </c>
      <c r="F17" s="23">
        <f>SUM(F10:F16)</f>
        <v>877</v>
      </c>
      <c r="H17" s="4"/>
      <c r="I17" s="10"/>
      <c r="J17" s="4"/>
      <c r="K17" s="4"/>
      <c r="L17" s="4"/>
      <c r="M17" s="5"/>
      <c r="O17" s="5"/>
      <c r="P17" s="5"/>
      <c r="Q17" s="5"/>
      <c r="AA17" s="4"/>
      <c r="AB17" s="4"/>
      <c r="AC17" s="4"/>
    </row>
    <row r="18" spans="2:29" ht="15.75" customHeight="1">
      <c r="B18" s="70" t="s">
        <v>44</v>
      </c>
      <c r="C18" s="71"/>
      <c r="D18" s="22" t="s">
        <v>19</v>
      </c>
      <c r="E18" s="21" t="s">
        <v>4</v>
      </c>
      <c r="F18" s="21" t="s">
        <v>5</v>
      </c>
      <c r="H18" s="4"/>
      <c r="I18" s="10"/>
      <c r="J18" s="4"/>
      <c r="K18" s="4"/>
      <c r="L18" s="76" t="s">
        <v>45</v>
      </c>
      <c r="M18" s="68"/>
      <c r="N18" s="68"/>
      <c r="R18" s="4"/>
      <c r="S18" s="4"/>
      <c r="T18" s="4"/>
      <c r="AA18" s="4"/>
      <c r="AB18" s="4"/>
      <c r="AC18" s="4"/>
    </row>
    <row r="19" spans="2:29" ht="15.75" customHeight="1">
      <c r="B19" s="72"/>
      <c r="C19" s="73"/>
      <c r="D19" s="6" t="s">
        <v>46</v>
      </c>
      <c r="E19" s="7">
        <v>0</v>
      </c>
      <c r="F19" s="7">
        <v>0</v>
      </c>
      <c r="H19" s="4"/>
      <c r="I19" s="10"/>
      <c r="J19" s="4"/>
      <c r="K19" s="4"/>
      <c r="L19" s="26" t="s">
        <v>17</v>
      </c>
      <c r="M19" s="26" t="s">
        <v>34</v>
      </c>
      <c r="N19" s="26" t="s">
        <v>36</v>
      </c>
      <c r="O19" s="26" t="s">
        <v>40</v>
      </c>
      <c r="P19" s="26" t="s">
        <v>39</v>
      </c>
      <c r="Q19" s="26" t="s">
        <v>41</v>
      </c>
      <c r="R19" s="26" t="s">
        <v>42</v>
      </c>
      <c r="S19" s="26" t="s">
        <v>47</v>
      </c>
      <c r="T19" s="26" t="s">
        <v>48</v>
      </c>
      <c r="U19" s="26" t="s">
        <v>16</v>
      </c>
      <c r="AA19" s="4"/>
      <c r="AB19" s="4"/>
      <c r="AC19" s="4"/>
    </row>
    <row r="20" spans="2:29" ht="15.75" customHeight="1">
      <c r="B20" s="72"/>
      <c r="C20" s="73"/>
      <c r="D20" s="14" t="s">
        <v>49</v>
      </c>
      <c r="E20" s="7">
        <v>137</v>
      </c>
      <c r="F20" s="7">
        <v>103</v>
      </c>
      <c r="H20" s="4"/>
      <c r="I20" s="10"/>
      <c r="J20" s="4"/>
      <c r="K20" s="4"/>
      <c r="L20" s="11" t="s">
        <v>22</v>
      </c>
      <c r="M20" s="8">
        <v>19</v>
      </c>
      <c r="N20" s="8">
        <v>13</v>
      </c>
      <c r="O20" s="8">
        <v>15</v>
      </c>
      <c r="P20" s="8">
        <v>9</v>
      </c>
      <c r="Q20" s="8">
        <v>10</v>
      </c>
      <c r="R20" s="8">
        <v>11</v>
      </c>
      <c r="S20" s="8">
        <v>3</v>
      </c>
      <c r="T20" s="8">
        <v>0</v>
      </c>
      <c r="U20" s="9">
        <f>SUM(M20:T20)</f>
        <v>80</v>
      </c>
      <c r="AA20" s="4"/>
      <c r="AB20" s="4"/>
      <c r="AC20" s="4"/>
    </row>
    <row r="21" spans="2:29" ht="15.75" customHeight="1">
      <c r="B21" s="72"/>
      <c r="C21" s="73"/>
      <c r="D21" s="14" t="s">
        <v>50</v>
      </c>
      <c r="E21" s="7">
        <v>0</v>
      </c>
      <c r="F21" s="7">
        <v>0</v>
      </c>
      <c r="H21" s="4"/>
      <c r="I21" s="10"/>
      <c r="J21" s="4"/>
      <c r="K21" s="4"/>
      <c r="L21" s="11" t="s">
        <v>26</v>
      </c>
      <c r="M21" s="12">
        <v>5</v>
      </c>
      <c r="N21" s="12">
        <v>2</v>
      </c>
      <c r="O21" s="12">
        <v>9</v>
      </c>
      <c r="P21" s="12">
        <v>3</v>
      </c>
      <c r="Q21" s="12">
        <v>4</v>
      </c>
      <c r="R21" s="12">
        <v>6</v>
      </c>
      <c r="S21" s="12">
        <v>6</v>
      </c>
      <c r="T21" s="12">
        <v>0</v>
      </c>
      <c r="U21" s="9">
        <f>SUM(M21:T21)</f>
        <v>35</v>
      </c>
      <c r="AA21" s="4"/>
      <c r="AB21" s="4"/>
      <c r="AC21" s="4"/>
    </row>
    <row r="22" spans="2:29" ht="15.75" customHeight="1">
      <c r="B22" s="72"/>
      <c r="C22" s="73"/>
      <c r="D22" s="6" t="s">
        <v>51</v>
      </c>
      <c r="E22" s="7">
        <v>0</v>
      </c>
      <c r="F22" s="7">
        <v>0</v>
      </c>
      <c r="H22" s="4"/>
      <c r="I22" s="10"/>
      <c r="J22" s="4"/>
      <c r="K22" s="4"/>
      <c r="L22" s="13" t="s">
        <v>28</v>
      </c>
      <c r="M22" s="7">
        <v>2</v>
      </c>
      <c r="N22" s="7">
        <v>1</v>
      </c>
      <c r="O22" s="7">
        <v>7</v>
      </c>
      <c r="P22" s="7">
        <v>3</v>
      </c>
      <c r="Q22" s="7">
        <v>2</v>
      </c>
      <c r="R22" s="7">
        <v>6</v>
      </c>
      <c r="S22" s="7">
        <v>1</v>
      </c>
      <c r="T22" s="7">
        <v>0</v>
      </c>
      <c r="U22" s="9">
        <f t="shared" ref="U21:U24" si="1">SUM(M22:T22)</f>
        <v>22</v>
      </c>
      <c r="AA22" s="4"/>
      <c r="AB22" s="4"/>
      <c r="AC22" s="4"/>
    </row>
    <row r="23" spans="2:29" ht="15.75" customHeight="1">
      <c r="B23" s="74"/>
      <c r="C23" s="75"/>
      <c r="D23" s="24" t="s">
        <v>30</v>
      </c>
      <c r="E23" s="23">
        <f>SUM(E19:E22)</f>
        <v>137</v>
      </c>
      <c r="F23" s="23">
        <f>SUM(F19:F22)</f>
        <v>103</v>
      </c>
      <c r="H23" s="4"/>
      <c r="I23" s="10"/>
      <c r="J23" s="4"/>
      <c r="K23" s="4"/>
      <c r="L23" s="13" t="s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2</v>
      </c>
      <c r="U23" s="9">
        <f t="shared" si="1"/>
        <v>2</v>
      </c>
      <c r="AA23" s="4"/>
      <c r="AB23" s="4"/>
      <c r="AC23" s="4"/>
    </row>
    <row r="24" spans="2:29" ht="15.75" customHeight="1">
      <c r="B24" s="70" t="s">
        <v>52</v>
      </c>
      <c r="C24" s="71"/>
      <c r="D24" s="22" t="s">
        <v>53</v>
      </c>
      <c r="E24" s="21" t="s">
        <v>4</v>
      </c>
      <c r="F24" s="21" t="s">
        <v>5</v>
      </c>
      <c r="H24" s="4"/>
      <c r="I24" s="10"/>
      <c r="J24" s="4"/>
      <c r="K24" s="4"/>
      <c r="L24" s="13" t="s">
        <v>54</v>
      </c>
      <c r="M24" s="7">
        <v>0</v>
      </c>
      <c r="N24" s="7">
        <v>1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19">
        <v>0</v>
      </c>
      <c r="U24" s="9">
        <f t="shared" si="1"/>
        <v>2</v>
      </c>
      <c r="AA24" s="4"/>
      <c r="AB24" s="4"/>
      <c r="AC24" s="4"/>
    </row>
    <row r="25" spans="2:29" ht="15.75" customHeight="1">
      <c r="B25" s="72"/>
      <c r="C25" s="73"/>
      <c r="D25" s="6" t="s">
        <v>55</v>
      </c>
      <c r="E25" s="7">
        <v>31</v>
      </c>
      <c r="F25" s="7">
        <v>27</v>
      </c>
      <c r="H25" s="4"/>
      <c r="I25" s="10"/>
      <c r="J25" s="4"/>
      <c r="K25" s="4"/>
      <c r="L25" s="27" t="s">
        <v>31</v>
      </c>
      <c r="M25" s="27">
        <f t="shared" ref="M25:O25" si="2">SUM(M20:M24)</f>
        <v>26</v>
      </c>
      <c r="N25" s="27">
        <f t="shared" si="2"/>
        <v>17</v>
      </c>
      <c r="O25" s="27">
        <f t="shared" si="2"/>
        <v>32</v>
      </c>
      <c r="P25" s="27">
        <f>SUM(P20:P24)</f>
        <v>15</v>
      </c>
      <c r="Q25" s="27">
        <f>SUM(Q20:Q24)</f>
        <v>16</v>
      </c>
      <c r="R25" s="27">
        <f>SUM(R20:R24)</f>
        <v>23</v>
      </c>
      <c r="S25" s="27">
        <f>SUM(S20:S24)</f>
        <v>10</v>
      </c>
      <c r="T25" s="27">
        <f>SUM(T20:T23)</f>
        <v>2</v>
      </c>
      <c r="U25" s="27">
        <f>SUM(U20:U24)</f>
        <v>141</v>
      </c>
      <c r="AA25" s="4"/>
      <c r="AB25" s="4"/>
      <c r="AC25" s="4"/>
    </row>
    <row r="26" spans="2:29" ht="15.75" customHeight="1">
      <c r="B26" s="72"/>
      <c r="C26" s="73"/>
      <c r="D26" s="6" t="s">
        <v>56</v>
      </c>
      <c r="E26" s="7">
        <v>30</v>
      </c>
      <c r="F26" s="7">
        <v>27</v>
      </c>
      <c r="H26" s="4"/>
      <c r="I26" s="10"/>
      <c r="J26" s="4"/>
      <c r="K26" s="4"/>
      <c r="L26" s="4"/>
      <c r="N26" s="4"/>
      <c r="O26" s="4"/>
      <c r="P26" s="4"/>
      <c r="R26" s="4"/>
      <c r="S26" s="4"/>
      <c r="T26" s="4"/>
      <c r="AA26" s="4"/>
      <c r="AB26" s="4"/>
      <c r="AC26" s="4"/>
    </row>
    <row r="27" spans="2:29" ht="15.75" customHeight="1">
      <c r="B27" s="74"/>
      <c r="C27" s="75"/>
      <c r="D27" s="77" t="s">
        <v>30</v>
      </c>
      <c r="E27" s="23">
        <f>SUM(E25:E26)</f>
        <v>61</v>
      </c>
      <c r="F27" s="23">
        <f>SUM(F25:F26)</f>
        <v>54</v>
      </c>
      <c r="H27" s="4"/>
      <c r="I27" s="10"/>
      <c r="J27" s="4"/>
      <c r="K27" s="4"/>
      <c r="L27" s="60" t="s">
        <v>57</v>
      </c>
      <c r="M27" s="61"/>
      <c r="N27" s="61"/>
      <c r="O27" s="4"/>
      <c r="P27" s="4"/>
      <c r="R27" s="4"/>
      <c r="S27" s="4"/>
      <c r="T27" s="4"/>
      <c r="AA27" s="4"/>
      <c r="AB27" s="4"/>
      <c r="AC27" s="4"/>
    </row>
    <row r="28" spans="2:29" ht="15.75" customHeight="1">
      <c r="B28" s="79" t="s">
        <v>58</v>
      </c>
      <c r="C28" s="80"/>
      <c r="D28" s="78"/>
      <c r="E28" s="23">
        <f>+E8+E17+E23+E27</f>
        <v>2333</v>
      </c>
      <c r="F28" s="23">
        <f>+F8+F17+F23+F27</f>
        <v>1765</v>
      </c>
      <c r="H28" s="4"/>
      <c r="I28" s="10"/>
      <c r="J28" s="4"/>
      <c r="K28" s="4"/>
      <c r="L28" s="26" t="s">
        <v>17</v>
      </c>
      <c r="M28" s="26" t="s">
        <v>59</v>
      </c>
      <c r="N28" s="26" t="s">
        <v>60</v>
      </c>
      <c r="O28" s="4"/>
      <c r="P28" s="4"/>
      <c r="R28" s="4"/>
      <c r="S28" s="4"/>
      <c r="T28" s="4"/>
      <c r="AA28" s="4"/>
      <c r="AB28" s="4"/>
      <c r="AC28" s="4"/>
    </row>
    <row r="29" spans="2:29" ht="15.75" customHeight="1">
      <c r="B29" s="4"/>
      <c r="C29" s="4"/>
      <c r="D29" s="4"/>
      <c r="E29" s="10"/>
      <c r="F29" s="10"/>
      <c r="H29" s="4"/>
      <c r="I29" s="10"/>
      <c r="J29" s="4"/>
      <c r="K29" s="4"/>
      <c r="L29" s="2" t="s">
        <v>61</v>
      </c>
      <c r="M29" s="8">
        <f>M8</f>
        <v>97</v>
      </c>
      <c r="N29" s="9">
        <f>F27+F23+F17</f>
        <v>1034</v>
      </c>
      <c r="O29" s="4"/>
      <c r="P29" s="4"/>
      <c r="R29" s="4"/>
      <c r="S29" s="4"/>
      <c r="T29" s="4"/>
      <c r="AA29" s="4"/>
      <c r="AB29" s="4"/>
      <c r="AC29" s="4"/>
    </row>
    <row r="30" spans="2:29" ht="15.75" customHeight="1">
      <c r="B30" s="68" t="s">
        <v>62</v>
      </c>
      <c r="C30" s="68"/>
      <c r="D30" s="68"/>
      <c r="E30" s="68"/>
      <c r="F30" s="69"/>
      <c r="H30" s="4"/>
      <c r="I30" s="10"/>
      <c r="J30" s="4"/>
      <c r="K30" s="4"/>
      <c r="L30" s="2" t="s">
        <v>63</v>
      </c>
      <c r="M30" s="8">
        <f>R16</f>
        <v>40</v>
      </c>
      <c r="N30" s="9">
        <f>F8</f>
        <v>731</v>
      </c>
      <c r="O30" s="4"/>
      <c r="P30" s="4"/>
      <c r="R30" s="4"/>
      <c r="S30" s="4"/>
      <c r="T30" s="4"/>
      <c r="AA30" s="4"/>
      <c r="AB30" s="4"/>
      <c r="AC30" s="4"/>
    </row>
    <row r="31" spans="2:29" ht="15.75" customHeight="1">
      <c r="B31" s="22" t="s">
        <v>14</v>
      </c>
      <c r="C31" s="22" t="s">
        <v>64</v>
      </c>
      <c r="D31" s="22" t="s">
        <v>15</v>
      </c>
      <c r="E31" s="22" t="s">
        <v>65</v>
      </c>
      <c r="F31" s="22" t="s">
        <v>16</v>
      </c>
      <c r="H31" s="4"/>
      <c r="I31" s="10"/>
      <c r="J31" s="4"/>
      <c r="K31" s="4"/>
      <c r="L31" s="27" t="s">
        <v>31</v>
      </c>
      <c r="M31" s="27">
        <f>SUM(M29:M30)</f>
        <v>137</v>
      </c>
      <c r="N31" s="27">
        <f>SUM(N29:N30)</f>
        <v>1765</v>
      </c>
      <c r="O31" s="4"/>
      <c r="P31" s="4"/>
      <c r="R31" s="4"/>
      <c r="S31" s="4"/>
      <c r="T31" s="4"/>
      <c r="AA31" s="4"/>
      <c r="AB31" s="4"/>
      <c r="AC31" s="4"/>
    </row>
    <row r="32" spans="2:29" ht="15.75" customHeight="1">
      <c r="B32" s="1" t="s">
        <v>13</v>
      </c>
      <c r="C32" s="7">
        <v>17</v>
      </c>
      <c r="D32" s="7">
        <v>113</v>
      </c>
      <c r="E32" s="15">
        <v>9</v>
      </c>
      <c r="F32" s="16">
        <f>SUM(C32:E32)</f>
        <v>139</v>
      </c>
      <c r="H32" s="4"/>
      <c r="I32" s="10"/>
      <c r="J32" s="4"/>
      <c r="K32" s="4"/>
      <c r="N32" s="4"/>
      <c r="O32" s="10"/>
      <c r="P32" s="4"/>
      <c r="R32" s="4"/>
      <c r="S32" s="4"/>
      <c r="T32" s="4"/>
      <c r="AA32" s="4"/>
      <c r="AB32" s="4"/>
      <c r="AC32" s="4"/>
    </row>
    <row r="33" spans="2:29" ht="15.75" customHeight="1">
      <c r="B33" s="1" t="s">
        <v>20</v>
      </c>
      <c r="C33" s="7">
        <v>14</v>
      </c>
      <c r="D33" s="7">
        <v>115</v>
      </c>
      <c r="E33" s="15">
        <v>10</v>
      </c>
      <c r="F33" s="16">
        <f>SUM(C33:E33)</f>
        <v>139</v>
      </c>
      <c r="H33" s="4"/>
      <c r="I33" s="4"/>
      <c r="J33" s="4"/>
      <c r="K33" s="4"/>
      <c r="L33" s="4"/>
      <c r="N33" s="4"/>
      <c r="O33" s="10"/>
      <c r="P33" s="4"/>
      <c r="R33" s="4"/>
      <c r="S33" s="4"/>
      <c r="T33" s="4"/>
      <c r="AA33" s="4"/>
      <c r="AB33" s="4"/>
      <c r="AC33" s="4"/>
    </row>
    <row r="34" spans="2:29" ht="15.75" customHeight="1">
      <c r="B34" s="1" t="s">
        <v>27</v>
      </c>
      <c r="C34" s="7">
        <v>9</v>
      </c>
      <c r="D34" s="7">
        <v>113</v>
      </c>
      <c r="E34" s="15">
        <v>22</v>
      </c>
      <c r="F34" s="16">
        <f>SUM(C34:E34)</f>
        <v>144</v>
      </c>
      <c r="H34" s="4"/>
      <c r="I34" s="4"/>
      <c r="J34" s="4"/>
      <c r="K34" s="4"/>
      <c r="L34" s="4"/>
      <c r="N34" s="4"/>
      <c r="O34" s="4"/>
      <c r="P34" s="4"/>
      <c r="R34" s="4"/>
      <c r="S34" s="4"/>
      <c r="T34" s="4"/>
      <c r="AA34" s="4"/>
      <c r="AB34" s="4"/>
      <c r="AC34" s="4"/>
    </row>
    <row r="35" spans="2:29" ht="15.75" customHeight="1">
      <c r="B35" s="1" t="s">
        <v>29</v>
      </c>
      <c r="C35" s="7">
        <v>20</v>
      </c>
      <c r="D35" s="7">
        <v>111</v>
      </c>
      <c r="E35" s="15">
        <v>10</v>
      </c>
      <c r="F35" s="16">
        <f>SUM(C35:E35)</f>
        <v>141</v>
      </c>
      <c r="H35" s="4"/>
      <c r="I35" s="4"/>
      <c r="J35" s="4"/>
      <c r="K35" s="4"/>
      <c r="L35" s="10"/>
      <c r="N35" s="4"/>
      <c r="O35" s="10"/>
      <c r="P35" s="4"/>
      <c r="R35" s="4"/>
      <c r="S35" s="4"/>
      <c r="T35" s="4"/>
      <c r="AA35" s="4"/>
      <c r="AB35" s="4"/>
      <c r="AC35" s="4"/>
    </row>
    <row r="36" spans="2:29" ht="15.75" customHeight="1">
      <c r="B36" s="24" t="s">
        <v>25</v>
      </c>
      <c r="C36" s="23">
        <f>SUM(C32:C35)</f>
        <v>60</v>
      </c>
      <c r="D36" s="23">
        <f t="shared" ref="D36:F36" si="3">SUM(D32:D35)</f>
        <v>452</v>
      </c>
      <c r="E36" s="23">
        <f t="shared" si="3"/>
        <v>51</v>
      </c>
      <c r="F36" s="23">
        <f t="shared" si="3"/>
        <v>563</v>
      </c>
      <c r="H36" s="4"/>
      <c r="I36" s="4"/>
      <c r="J36" s="4"/>
      <c r="K36" s="10"/>
      <c r="L36" s="10"/>
      <c r="N36" s="4"/>
      <c r="O36" s="10"/>
      <c r="P36" s="4"/>
      <c r="R36" s="4"/>
      <c r="S36" s="4"/>
      <c r="T36" s="4"/>
    </row>
    <row r="37" spans="2:29" ht="15.75" customHeight="1">
      <c r="B37" s="4"/>
      <c r="C37" s="4"/>
      <c r="D37" s="4"/>
      <c r="E37" s="10"/>
      <c r="F37" s="10"/>
      <c r="H37" s="4"/>
      <c r="I37" s="4"/>
      <c r="J37" s="4"/>
      <c r="K37" s="10"/>
      <c r="L37" s="10"/>
      <c r="N37" s="4"/>
      <c r="O37" s="4"/>
      <c r="P37" s="4"/>
      <c r="R37" s="4"/>
      <c r="S37" s="4"/>
      <c r="T37" s="4"/>
    </row>
    <row r="38" spans="2:29" ht="15.75" customHeight="1">
      <c r="B38" s="68" t="s">
        <v>6</v>
      </c>
      <c r="C38" s="68"/>
      <c r="D38" s="69"/>
      <c r="E38" s="10"/>
      <c r="F38" s="10"/>
      <c r="H38" s="4"/>
      <c r="I38" s="4"/>
      <c r="J38" s="4"/>
      <c r="K38" s="10"/>
      <c r="L38" s="10"/>
      <c r="N38" s="4"/>
      <c r="O38" s="10"/>
      <c r="P38" s="10"/>
      <c r="R38" s="4"/>
      <c r="S38" s="4"/>
      <c r="T38" s="4"/>
    </row>
    <row r="39" spans="2:29" ht="15.75" customHeight="1">
      <c r="B39" s="22" t="s">
        <v>14</v>
      </c>
      <c r="C39" s="22" t="s">
        <v>66</v>
      </c>
      <c r="D39" s="22" t="s">
        <v>16</v>
      </c>
      <c r="E39" s="10"/>
      <c r="F39" s="10"/>
      <c r="H39" s="4"/>
      <c r="I39" s="4"/>
      <c r="J39" s="4"/>
      <c r="K39" s="10"/>
      <c r="L39" s="10"/>
      <c r="N39" s="4"/>
      <c r="O39" s="10"/>
      <c r="P39" s="10"/>
      <c r="R39" s="4"/>
      <c r="S39" s="4"/>
      <c r="T39" s="4"/>
    </row>
    <row r="40" spans="2:29" ht="15.75" customHeight="1">
      <c r="B40" s="1" t="s">
        <v>24</v>
      </c>
      <c r="C40" s="7">
        <v>86</v>
      </c>
      <c r="D40" s="16">
        <f>SUM(C40)</f>
        <v>86</v>
      </c>
      <c r="E40" s="10"/>
      <c r="F40" s="10"/>
      <c r="H40" s="4"/>
      <c r="I40" s="4"/>
      <c r="J40" s="4"/>
      <c r="K40" s="10"/>
      <c r="L40" s="10"/>
      <c r="N40" s="4"/>
      <c r="O40" s="10"/>
      <c r="P40" s="10"/>
      <c r="R40" s="4"/>
      <c r="S40" s="4"/>
      <c r="T40" s="4"/>
    </row>
    <row r="41" spans="2:29" ht="15.75" customHeight="1">
      <c r="B41" s="24" t="s">
        <v>25</v>
      </c>
      <c r="C41" s="23">
        <f>SUM(C40:C40)</f>
        <v>86</v>
      </c>
      <c r="D41" s="24">
        <f t="shared" ref="D41" si="4">SUM(C41)</f>
        <v>86</v>
      </c>
      <c r="E41" s="10"/>
      <c r="F41" s="10"/>
      <c r="H41" s="4"/>
      <c r="I41" s="4"/>
      <c r="J41" s="4"/>
      <c r="K41" s="10"/>
      <c r="L41" s="17"/>
      <c r="N41" s="4"/>
      <c r="O41" s="10"/>
      <c r="P41" s="10"/>
      <c r="R41" s="4"/>
      <c r="S41" s="4"/>
      <c r="T41" s="4"/>
    </row>
    <row r="42" spans="2:29" ht="15.75" customHeight="1">
      <c r="B42" s="4"/>
      <c r="C42" s="4"/>
      <c r="D42" s="4"/>
      <c r="E42" s="10"/>
      <c r="F42" s="10"/>
      <c r="H42" s="4"/>
      <c r="I42" s="4"/>
      <c r="J42" s="4"/>
      <c r="K42" s="10"/>
      <c r="L42" s="17"/>
      <c r="N42" s="4"/>
      <c r="O42" s="10"/>
      <c r="P42" s="10"/>
      <c r="R42" s="4"/>
      <c r="S42" s="4"/>
      <c r="T42" s="4"/>
    </row>
    <row r="43" spans="2:29" ht="15.75" customHeight="1">
      <c r="B43" s="68" t="s">
        <v>13</v>
      </c>
      <c r="C43" s="69"/>
      <c r="D43" s="4"/>
      <c r="E43" s="68" t="s">
        <v>20</v>
      </c>
      <c r="F43" s="69"/>
      <c r="H43" s="68" t="s">
        <v>67</v>
      </c>
      <c r="I43" s="69"/>
      <c r="J43" s="4"/>
      <c r="K43" s="68" t="s">
        <v>29</v>
      </c>
      <c r="L43" s="69"/>
      <c r="N43" s="4"/>
      <c r="O43" s="10"/>
      <c r="P43" s="10"/>
      <c r="R43" s="4"/>
      <c r="S43" s="4"/>
      <c r="T43" s="4"/>
    </row>
    <row r="44" spans="2:29" ht="32.25" customHeight="1">
      <c r="B44" s="34" t="s">
        <v>68</v>
      </c>
      <c r="C44" s="34" t="s">
        <v>69</v>
      </c>
      <c r="D44" s="10"/>
      <c r="E44" s="34" t="s">
        <v>68</v>
      </c>
      <c r="F44" s="34" t="str">
        <f>C44</f>
        <v>CORTE AL 30/01/2026</v>
      </c>
      <c r="H44" s="34" t="s">
        <v>68</v>
      </c>
      <c r="I44" s="34" t="str">
        <f>C44</f>
        <v>CORTE AL 30/01/2026</v>
      </c>
      <c r="J44" s="4"/>
      <c r="K44" s="34" t="s">
        <v>68</v>
      </c>
      <c r="L44" s="34" t="str">
        <f>C44</f>
        <v>CORTE AL 30/01/2026</v>
      </c>
      <c r="N44" s="4"/>
      <c r="O44" s="10"/>
      <c r="P44" s="10"/>
      <c r="R44" s="4"/>
      <c r="S44" s="4"/>
      <c r="T44" s="4"/>
    </row>
    <row r="45" spans="2:29" ht="15.75" customHeight="1">
      <c r="B45" s="33" t="s">
        <v>70</v>
      </c>
      <c r="C45" s="35">
        <v>24</v>
      </c>
      <c r="D45" s="4"/>
      <c r="E45" s="37" t="s">
        <v>71</v>
      </c>
      <c r="F45" s="36">
        <v>29</v>
      </c>
      <c r="G45" s="18"/>
      <c r="H45" s="39" t="s">
        <v>72</v>
      </c>
      <c r="I45" s="36">
        <v>12</v>
      </c>
      <c r="J45" s="17"/>
      <c r="K45" s="37" t="s">
        <v>73</v>
      </c>
      <c r="L45" s="36">
        <v>19</v>
      </c>
      <c r="N45" s="4"/>
      <c r="O45" s="10"/>
      <c r="P45" s="10"/>
      <c r="R45" s="4"/>
      <c r="S45" s="4"/>
      <c r="T45" s="4"/>
    </row>
    <row r="46" spans="2:29">
      <c r="B46" s="33" t="s">
        <v>74</v>
      </c>
      <c r="C46" s="35">
        <v>13</v>
      </c>
      <c r="D46" s="4"/>
      <c r="E46" s="37" t="s">
        <v>75</v>
      </c>
      <c r="F46" s="36">
        <v>15</v>
      </c>
      <c r="G46" s="18"/>
      <c r="H46" s="39" t="s">
        <v>76</v>
      </c>
      <c r="I46" s="36">
        <v>11</v>
      </c>
      <c r="J46" s="17"/>
      <c r="K46" s="37" t="s">
        <v>77</v>
      </c>
      <c r="L46" s="36">
        <v>14</v>
      </c>
      <c r="N46" s="4"/>
      <c r="O46" s="10"/>
      <c r="P46" s="10"/>
      <c r="R46" s="4"/>
      <c r="S46" s="4"/>
      <c r="T46" s="4"/>
    </row>
    <row r="47" spans="2:29">
      <c r="B47" s="33" t="s">
        <v>78</v>
      </c>
      <c r="C47" s="35">
        <v>10</v>
      </c>
      <c r="D47" s="4"/>
      <c r="E47" s="37" t="s">
        <v>79</v>
      </c>
      <c r="F47" s="36">
        <v>9</v>
      </c>
      <c r="G47" s="18"/>
      <c r="H47" s="39" t="s">
        <v>80</v>
      </c>
      <c r="I47" s="36">
        <v>10</v>
      </c>
      <c r="J47" s="17"/>
      <c r="K47" s="37" t="s">
        <v>81</v>
      </c>
      <c r="L47" s="36">
        <v>12</v>
      </c>
      <c r="N47" s="4"/>
      <c r="O47" s="10"/>
      <c r="P47" s="10"/>
      <c r="R47" s="4"/>
      <c r="S47" s="4"/>
      <c r="T47" s="4"/>
    </row>
    <row r="48" spans="2:29">
      <c r="B48" s="33" t="s">
        <v>82</v>
      </c>
      <c r="C48" s="35">
        <v>9</v>
      </c>
      <c r="D48" s="4"/>
      <c r="E48" s="37" t="s">
        <v>83</v>
      </c>
      <c r="F48" s="36">
        <v>8</v>
      </c>
      <c r="G48" s="18"/>
      <c r="H48" s="39" t="s">
        <v>84</v>
      </c>
      <c r="I48" s="36">
        <v>9</v>
      </c>
      <c r="J48" s="17"/>
      <c r="K48" s="37" t="s">
        <v>85</v>
      </c>
      <c r="L48" s="36">
        <v>11</v>
      </c>
      <c r="N48" s="4"/>
      <c r="O48" s="10"/>
      <c r="P48" s="10"/>
      <c r="R48" s="4"/>
      <c r="S48" s="4"/>
      <c r="T48" s="4"/>
    </row>
    <row r="49" spans="2:20">
      <c r="B49" s="33" t="s">
        <v>86</v>
      </c>
      <c r="C49" s="35">
        <v>6</v>
      </c>
      <c r="D49" s="4"/>
      <c r="E49" s="37" t="s">
        <v>87</v>
      </c>
      <c r="F49" s="36">
        <v>5</v>
      </c>
      <c r="G49" s="18"/>
      <c r="H49" s="39" t="s">
        <v>88</v>
      </c>
      <c r="I49" s="36">
        <v>8</v>
      </c>
      <c r="J49" s="17"/>
      <c r="K49" s="37" t="s">
        <v>89</v>
      </c>
      <c r="L49" s="36">
        <v>10</v>
      </c>
      <c r="N49" s="4"/>
      <c r="O49" s="10"/>
      <c r="P49" s="10"/>
      <c r="R49" s="4"/>
      <c r="S49" s="4"/>
      <c r="T49" s="4"/>
    </row>
    <row r="50" spans="2:20">
      <c r="B50" s="33" t="s">
        <v>90</v>
      </c>
      <c r="C50" s="35">
        <v>6</v>
      </c>
      <c r="D50" s="4"/>
      <c r="E50" s="37" t="s">
        <v>91</v>
      </c>
      <c r="F50" s="36">
        <v>5</v>
      </c>
      <c r="G50" s="18"/>
      <c r="H50" s="39" t="s">
        <v>92</v>
      </c>
      <c r="I50" s="36">
        <v>8</v>
      </c>
      <c r="J50" s="17"/>
      <c r="K50" s="37" t="s">
        <v>93</v>
      </c>
      <c r="L50" s="36">
        <v>10</v>
      </c>
      <c r="N50" s="4"/>
      <c r="O50" s="10"/>
      <c r="P50" s="10"/>
      <c r="R50" s="4"/>
      <c r="S50" s="4"/>
      <c r="T50" s="4"/>
    </row>
    <row r="51" spans="2:20">
      <c r="B51" s="33" t="s">
        <v>94</v>
      </c>
      <c r="C51" s="35">
        <v>5</v>
      </c>
      <c r="D51" s="4"/>
      <c r="E51" s="38" t="s">
        <v>95</v>
      </c>
      <c r="F51" s="35">
        <v>4</v>
      </c>
      <c r="G51" s="18"/>
      <c r="H51" s="39" t="s">
        <v>96</v>
      </c>
      <c r="I51" s="36">
        <v>8</v>
      </c>
      <c r="J51" s="17"/>
      <c r="K51" s="37" t="s">
        <v>97</v>
      </c>
      <c r="L51" s="36">
        <v>9</v>
      </c>
      <c r="N51" s="4"/>
      <c r="O51" s="10"/>
      <c r="P51" s="10"/>
      <c r="R51" s="4"/>
      <c r="S51" s="4"/>
      <c r="T51" s="4"/>
    </row>
    <row r="52" spans="2:20">
      <c r="B52" s="33" t="s">
        <v>98</v>
      </c>
      <c r="C52" s="35">
        <v>4</v>
      </c>
      <c r="D52" s="4"/>
      <c r="E52" s="38" t="s">
        <v>99</v>
      </c>
      <c r="F52" s="35">
        <v>4</v>
      </c>
      <c r="G52" s="18"/>
      <c r="H52" s="39" t="s">
        <v>100</v>
      </c>
      <c r="I52" s="36">
        <v>8</v>
      </c>
      <c r="J52" s="18"/>
      <c r="K52" s="37" t="s">
        <v>101</v>
      </c>
      <c r="L52" s="36">
        <v>8</v>
      </c>
      <c r="N52" s="4"/>
      <c r="O52" s="10"/>
      <c r="P52" s="10"/>
      <c r="R52" s="4"/>
      <c r="S52" s="4"/>
      <c r="T52" s="4"/>
    </row>
    <row r="53" spans="2:20">
      <c r="B53" s="33" t="s">
        <v>102</v>
      </c>
      <c r="C53" s="35">
        <v>1</v>
      </c>
      <c r="D53" s="4"/>
      <c r="E53" s="38" t="s">
        <v>103</v>
      </c>
      <c r="F53" s="35">
        <v>3</v>
      </c>
      <c r="G53" s="18"/>
      <c r="H53" s="39" t="s">
        <v>104</v>
      </c>
      <c r="I53" s="36">
        <v>7</v>
      </c>
      <c r="J53" s="18"/>
      <c r="K53" s="37" t="s">
        <v>105</v>
      </c>
      <c r="L53" s="36">
        <v>2</v>
      </c>
      <c r="N53" s="4"/>
      <c r="O53" s="10"/>
      <c r="P53" s="10"/>
      <c r="R53" s="4"/>
      <c r="S53" s="4"/>
      <c r="T53" s="4"/>
    </row>
    <row r="54" spans="2:20">
      <c r="B54" s="33" t="s">
        <v>106</v>
      </c>
      <c r="C54" s="35">
        <v>1</v>
      </c>
      <c r="D54" s="4"/>
      <c r="E54" s="38" t="s">
        <v>107</v>
      </c>
      <c r="F54" s="35">
        <v>2</v>
      </c>
      <c r="G54" s="18"/>
      <c r="H54" s="39" t="s">
        <v>108</v>
      </c>
      <c r="I54" s="36">
        <v>6</v>
      </c>
      <c r="J54" s="18"/>
      <c r="K54" s="37" t="s">
        <v>109</v>
      </c>
      <c r="L54" s="36">
        <v>2</v>
      </c>
      <c r="N54" s="4"/>
      <c r="O54" s="10"/>
      <c r="P54" s="10"/>
      <c r="R54" s="4"/>
      <c r="S54" s="4"/>
      <c r="T54" s="4"/>
    </row>
    <row r="55" spans="2:20">
      <c r="B55" s="4"/>
      <c r="C55" s="4"/>
      <c r="D55" s="4"/>
      <c r="E55" s="38" t="s">
        <v>110</v>
      </c>
      <c r="F55" s="35">
        <v>2</v>
      </c>
      <c r="G55" s="18"/>
      <c r="H55" s="39" t="s">
        <v>111</v>
      </c>
      <c r="I55" s="36">
        <v>6</v>
      </c>
      <c r="J55" s="18"/>
      <c r="K55" s="37" t="s">
        <v>112</v>
      </c>
      <c r="L55" s="36">
        <v>2</v>
      </c>
      <c r="N55" s="4"/>
      <c r="O55" s="10"/>
      <c r="P55" s="10"/>
      <c r="R55" s="4"/>
      <c r="S55" s="4"/>
      <c r="T55" s="4"/>
    </row>
    <row r="56" spans="2:20">
      <c r="B56" s="4"/>
      <c r="C56" s="4"/>
      <c r="D56" s="4"/>
      <c r="E56" s="38" t="s">
        <v>113</v>
      </c>
      <c r="F56" s="35">
        <v>1</v>
      </c>
      <c r="G56" s="18"/>
      <c r="H56" s="39" t="s">
        <v>114</v>
      </c>
      <c r="I56" s="36">
        <v>4</v>
      </c>
      <c r="J56" s="18"/>
      <c r="K56" s="37" t="s">
        <v>115</v>
      </c>
      <c r="L56" s="36">
        <v>1</v>
      </c>
      <c r="N56" s="4"/>
      <c r="O56" s="10"/>
      <c r="P56" s="10"/>
      <c r="R56" s="4"/>
      <c r="S56" s="4"/>
      <c r="T56" s="4"/>
    </row>
    <row r="57" spans="2:20">
      <c r="B57" s="4"/>
      <c r="C57" s="4"/>
      <c r="D57" s="4"/>
      <c r="E57" s="38" t="s">
        <v>116</v>
      </c>
      <c r="F57" s="35">
        <v>1</v>
      </c>
      <c r="G57" s="18"/>
      <c r="H57" s="39" t="s">
        <v>117</v>
      </c>
      <c r="I57" s="36">
        <v>4</v>
      </c>
      <c r="J57" s="18"/>
      <c r="K57" s="37" t="s">
        <v>118</v>
      </c>
      <c r="L57" s="36">
        <v>1</v>
      </c>
      <c r="N57" s="4"/>
      <c r="O57" s="10"/>
      <c r="P57" s="10"/>
      <c r="R57" s="4"/>
      <c r="S57" s="4"/>
      <c r="T57" s="4"/>
    </row>
    <row r="58" spans="2:20">
      <c r="B58" s="4"/>
      <c r="C58" s="4"/>
      <c r="D58" s="4"/>
      <c r="E58" s="38" t="s">
        <v>119</v>
      </c>
      <c r="F58" s="35">
        <v>1</v>
      </c>
      <c r="G58" s="18"/>
      <c r="H58" s="39" t="s">
        <v>120</v>
      </c>
      <c r="I58" s="36">
        <v>1</v>
      </c>
      <c r="J58" s="18"/>
      <c r="K58" s="37" t="s">
        <v>121</v>
      </c>
      <c r="L58" s="36">
        <v>1</v>
      </c>
      <c r="N58" s="4"/>
      <c r="O58" s="10"/>
      <c r="P58" s="10"/>
      <c r="R58" s="4"/>
      <c r="S58" s="4"/>
      <c r="T58" s="4"/>
    </row>
    <row r="59" spans="2:20">
      <c r="B59" s="4"/>
      <c r="C59" s="4"/>
      <c r="D59" s="4"/>
      <c r="E59" s="38" t="s">
        <v>122</v>
      </c>
      <c r="F59" s="35">
        <v>0</v>
      </c>
      <c r="G59" s="18"/>
      <c r="H59" s="4"/>
      <c r="I59" s="4"/>
      <c r="J59" s="18"/>
      <c r="K59" s="17"/>
      <c r="L59" s="17"/>
      <c r="N59" s="4"/>
      <c r="O59" s="10"/>
      <c r="P59" s="10"/>
      <c r="R59" s="4"/>
      <c r="S59" s="4"/>
      <c r="T59" s="4"/>
    </row>
    <row r="60" spans="2:20" s="4" customFormat="1">
      <c r="E60" s="38" t="s">
        <v>123</v>
      </c>
      <c r="F60" s="35">
        <v>0</v>
      </c>
      <c r="G60" s="18"/>
      <c r="J60" s="18"/>
      <c r="K60" s="17"/>
      <c r="L60" s="17"/>
      <c r="O60" s="10"/>
      <c r="P60" s="10"/>
    </row>
    <row r="61" spans="2:20" s="4" customFormat="1">
      <c r="E61" s="38" t="s">
        <v>124</v>
      </c>
      <c r="F61" s="35">
        <v>0</v>
      </c>
      <c r="G61" s="18"/>
      <c r="J61" s="18"/>
      <c r="K61" s="17"/>
      <c r="L61" s="17"/>
      <c r="O61" s="10"/>
      <c r="P61" s="10"/>
    </row>
    <row r="62" spans="2:20" s="4" customFormat="1">
      <c r="E62" s="10"/>
      <c r="F62" s="10"/>
      <c r="G62" s="18"/>
      <c r="J62" s="18"/>
      <c r="K62" s="17"/>
      <c r="L62" s="17"/>
      <c r="O62" s="10"/>
      <c r="P62" s="10"/>
    </row>
    <row r="63" spans="2:20" s="4" customFormat="1">
      <c r="E63" s="10"/>
      <c r="F63" s="10"/>
      <c r="G63" s="18"/>
      <c r="J63" s="18"/>
      <c r="K63" s="17"/>
      <c r="L63" s="10"/>
      <c r="O63" s="10"/>
      <c r="P63" s="10"/>
    </row>
    <row r="64" spans="2:20" s="4" customFormat="1">
      <c r="E64" s="10"/>
      <c r="F64" s="10"/>
      <c r="G64" s="18"/>
      <c r="J64" s="18"/>
      <c r="K64" s="17"/>
      <c r="L64" s="10"/>
      <c r="O64" s="10"/>
      <c r="P64" s="10"/>
    </row>
    <row r="65" spans="5:16" s="4" customFormat="1">
      <c r="E65" s="10"/>
      <c r="F65" s="10"/>
      <c r="K65" s="10"/>
      <c r="L65" s="10"/>
      <c r="O65" s="10"/>
      <c r="P65" s="10"/>
    </row>
    <row r="66" spans="5:16" s="4" customFormat="1">
      <c r="E66" s="10"/>
      <c r="F66" s="10"/>
      <c r="K66" s="10"/>
      <c r="L66" s="10"/>
      <c r="O66" s="10"/>
      <c r="P66" s="10"/>
    </row>
    <row r="67" spans="5:16" s="4" customFormat="1">
      <c r="E67" s="10"/>
      <c r="F67" s="10"/>
      <c r="K67" s="10"/>
      <c r="L67" s="10"/>
      <c r="O67" s="10"/>
      <c r="P67" s="10"/>
    </row>
    <row r="68" spans="5:16" s="4" customFormat="1">
      <c r="E68" s="10"/>
      <c r="F68" s="10"/>
      <c r="K68" s="10"/>
      <c r="L68" s="10"/>
      <c r="O68" s="10"/>
      <c r="P68" s="10"/>
    </row>
    <row r="69" spans="5:16" s="4" customFormat="1" ht="15" customHeight="1">
      <c r="E69" s="10"/>
      <c r="F69" s="10"/>
      <c r="K69" s="10"/>
      <c r="L69" s="10"/>
      <c r="O69" s="10"/>
      <c r="P69" s="10"/>
    </row>
    <row r="70" spans="5:16" s="4" customFormat="1" ht="15" customHeight="1">
      <c r="E70" s="10"/>
      <c r="F70" s="10"/>
      <c r="K70" s="10"/>
      <c r="L70" s="10"/>
      <c r="O70" s="10"/>
      <c r="P70" s="10"/>
    </row>
    <row r="71" spans="5:16" s="4" customFormat="1" ht="15" customHeight="1">
      <c r="E71" s="10"/>
      <c r="F71" s="10"/>
      <c r="K71" s="10"/>
      <c r="L71" s="10"/>
      <c r="O71" s="10"/>
      <c r="P71" s="10"/>
    </row>
    <row r="72" spans="5:16" s="4" customFormat="1" ht="15" customHeight="1">
      <c r="E72" s="10"/>
      <c r="F72" s="10"/>
      <c r="K72" s="10"/>
      <c r="L72" s="10"/>
      <c r="O72" s="10"/>
      <c r="P72" s="10"/>
    </row>
    <row r="73" spans="5:16" s="4" customFormat="1" ht="15" customHeight="1">
      <c r="E73" s="10"/>
      <c r="F73" s="10"/>
      <c r="K73" s="10"/>
      <c r="L73" s="10"/>
      <c r="O73" s="10"/>
      <c r="P73" s="10"/>
    </row>
    <row r="74" spans="5:16" s="4" customFormat="1" ht="15" customHeight="1">
      <c r="E74" s="10"/>
      <c r="F74" s="10"/>
      <c r="K74" s="10"/>
      <c r="L74" s="10"/>
      <c r="O74" s="10"/>
      <c r="P74" s="10"/>
    </row>
    <row r="75" spans="5:16" s="4" customFormat="1" ht="15" customHeight="1">
      <c r="E75" s="10"/>
      <c r="F75" s="10"/>
      <c r="K75" s="10"/>
      <c r="L75" s="10"/>
      <c r="O75" s="10"/>
      <c r="P75" s="10"/>
    </row>
    <row r="76" spans="5:16" s="4" customFormat="1" ht="15" customHeight="1">
      <c r="E76" s="10"/>
      <c r="F76" s="10"/>
      <c r="K76" s="10"/>
      <c r="L76" s="10"/>
      <c r="O76" s="10"/>
      <c r="P76" s="10"/>
    </row>
    <row r="77" spans="5:16" s="4" customFormat="1" ht="15" customHeight="1">
      <c r="E77" s="10"/>
      <c r="F77" s="10"/>
      <c r="K77" s="10"/>
      <c r="L77" s="10"/>
      <c r="O77" s="10"/>
      <c r="P77" s="10"/>
    </row>
    <row r="78" spans="5:16" s="4" customFormat="1" ht="15" customHeight="1">
      <c r="E78" s="10"/>
      <c r="F78" s="10"/>
      <c r="K78" s="10"/>
      <c r="L78" s="10"/>
      <c r="O78" s="10"/>
      <c r="P78" s="10"/>
    </row>
    <row r="79" spans="5:16" s="4" customFormat="1" ht="15" customHeight="1">
      <c r="E79" s="10"/>
      <c r="F79" s="10"/>
      <c r="K79" s="10"/>
      <c r="L79" s="10"/>
      <c r="O79" s="10"/>
      <c r="P79" s="10"/>
    </row>
    <row r="80" spans="5:16" s="4" customFormat="1" ht="15" customHeight="1">
      <c r="E80" s="10"/>
      <c r="F80" s="10"/>
      <c r="K80" s="10"/>
      <c r="L80" s="10"/>
      <c r="O80" s="10"/>
      <c r="P80" s="10"/>
    </row>
    <row r="81" spans="5:16" s="4" customFormat="1" ht="15" customHeight="1">
      <c r="E81" s="10"/>
      <c r="F81" s="10"/>
      <c r="K81" s="10"/>
      <c r="L81" s="10"/>
      <c r="O81" s="10"/>
      <c r="P81" s="10"/>
    </row>
    <row r="82" spans="5:16" s="4" customFormat="1" ht="15" customHeight="1">
      <c r="E82" s="10"/>
      <c r="F82" s="10"/>
      <c r="K82" s="10"/>
      <c r="L82" s="10"/>
      <c r="O82" s="10"/>
      <c r="P82" s="10"/>
    </row>
    <row r="83" spans="5:16" s="4" customFormat="1" ht="15" customHeight="1">
      <c r="E83" s="10"/>
      <c r="F83" s="10"/>
      <c r="K83" s="10"/>
      <c r="L83" s="10"/>
      <c r="O83" s="10"/>
      <c r="P83" s="10"/>
    </row>
    <row r="84" spans="5:16" s="4" customFormat="1" ht="15" customHeight="1">
      <c r="E84" s="10"/>
      <c r="F84" s="10"/>
      <c r="K84" s="10"/>
      <c r="L84" s="10"/>
      <c r="O84" s="10"/>
      <c r="P84" s="10"/>
    </row>
    <row r="85" spans="5:16" s="4" customFormat="1" ht="15" customHeight="1">
      <c r="E85" s="10"/>
      <c r="F85" s="10"/>
      <c r="K85" s="10"/>
      <c r="L85" s="10"/>
      <c r="O85" s="10"/>
      <c r="P85" s="10"/>
    </row>
    <row r="86" spans="5:16" s="4" customFormat="1" ht="15" customHeight="1">
      <c r="E86" s="10"/>
      <c r="F86" s="10"/>
      <c r="K86" s="10"/>
      <c r="L86" s="10"/>
      <c r="O86" s="10"/>
      <c r="P86" s="10"/>
    </row>
    <row r="87" spans="5:16" s="4" customFormat="1" ht="15" customHeight="1">
      <c r="E87" s="10"/>
      <c r="F87" s="10"/>
      <c r="K87" s="10"/>
      <c r="L87" s="10"/>
      <c r="O87" s="10"/>
      <c r="P87" s="10"/>
    </row>
    <row r="88" spans="5:16" s="4" customFormat="1" ht="15" customHeight="1">
      <c r="E88" s="10"/>
      <c r="F88" s="10"/>
      <c r="K88" s="10"/>
      <c r="L88" s="10"/>
      <c r="O88" s="10"/>
      <c r="P88" s="10"/>
    </row>
    <row r="89" spans="5:16" s="4" customFormat="1" ht="15" customHeight="1">
      <c r="E89" s="10"/>
      <c r="F89" s="10"/>
      <c r="K89" s="10"/>
      <c r="L89" s="10"/>
      <c r="O89" s="10"/>
      <c r="P89" s="10"/>
    </row>
    <row r="90" spans="5:16" s="4" customFormat="1" ht="15" customHeight="1">
      <c r="E90" s="10"/>
      <c r="F90" s="10"/>
      <c r="K90" s="10"/>
      <c r="L90" s="10"/>
      <c r="O90" s="10"/>
      <c r="P90" s="10"/>
    </row>
    <row r="91" spans="5:16" s="4" customFormat="1" ht="15" customHeight="1">
      <c r="E91" s="10"/>
      <c r="F91" s="10"/>
      <c r="K91" s="10"/>
      <c r="L91" s="10"/>
      <c r="O91" s="10"/>
      <c r="P91" s="10"/>
    </row>
    <row r="92" spans="5:16" s="4" customFormat="1" ht="15" customHeight="1">
      <c r="E92" s="10"/>
      <c r="F92" s="10"/>
      <c r="K92" s="10"/>
      <c r="L92" s="10"/>
      <c r="O92" s="10"/>
      <c r="P92" s="10"/>
    </row>
    <row r="93" spans="5:16" s="4" customFormat="1" ht="15" customHeight="1">
      <c r="E93" s="10"/>
      <c r="F93" s="10"/>
      <c r="K93" s="10"/>
      <c r="L93" s="10"/>
      <c r="O93" s="10"/>
      <c r="P93" s="10"/>
    </row>
    <row r="94" spans="5:16" s="4" customFormat="1" ht="15" customHeight="1">
      <c r="E94" s="10"/>
      <c r="F94" s="10"/>
      <c r="K94" s="10"/>
      <c r="L94" s="10"/>
      <c r="O94" s="10"/>
      <c r="P94" s="10"/>
    </row>
    <row r="95" spans="5:16" s="4" customFormat="1" ht="15" customHeight="1">
      <c r="E95" s="10"/>
      <c r="F95" s="10"/>
      <c r="K95" s="10"/>
      <c r="L95" s="10"/>
      <c r="O95" s="10"/>
      <c r="P95" s="10"/>
    </row>
    <row r="96" spans="5:16" s="4" customFormat="1" ht="15" customHeight="1">
      <c r="E96" s="10"/>
      <c r="F96" s="10"/>
      <c r="K96" s="10"/>
      <c r="L96" s="10"/>
      <c r="O96" s="10"/>
      <c r="P96" s="10"/>
    </row>
    <row r="97" spans="2:16" s="4" customFormat="1" ht="15" customHeight="1">
      <c r="E97" s="10"/>
      <c r="F97" s="10"/>
      <c r="K97" s="10"/>
      <c r="L97" s="10"/>
      <c r="O97" s="10"/>
      <c r="P97" s="10"/>
    </row>
    <row r="98" spans="2:16" s="4" customFormat="1" ht="15" customHeight="1">
      <c r="E98" s="10"/>
      <c r="F98" s="10"/>
      <c r="K98" s="10"/>
      <c r="L98" s="10"/>
      <c r="O98" s="10"/>
      <c r="P98" s="10"/>
    </row>
    <row r="99" spans="2:16" s="4" customFormat="1" ht="15" customHeight="1">
      <c r="E99" s="10"/>
      <c r="F99" s="10"/>
      <c r="K99" s="10"/>
      <c r="L99" s="10"/>
      <c r="O99" s="10"/>
      <c r="P99" s="10"/>
    </row>
    <row r="100" spans="2:16" s="4" customFormat="1" ht="15" customHeight="1">
      <c r="E100" s="10"/>
      <c r="F100" s="10"/>
      <c r="K100" s="10"/>
      <c r="L100" s="10"/>
      <c r="O100" s="10"/>
      <c r="P100" s="10"/>
    </row>
    <row r="101" spans="2:16" s="4" customFormat="1" ht="15" customHeight="1">
      <c r="E101" s="10"/>
      <c r="F101" s="10"/>
      <c r="K101" s="10"/>
      <c r="L101" s="10"/>
      <c r="O101" s="10"/>
      <c r="P101" s="10"/>
    </row>
    <row r="102" spans="2:16" s="4" customFormat="1" ht="15" customHeight="1">
      <c r="E102" s="10"/>
      <c r="F102" s="10"/>
      <c r="K102" s="10"/>
      <c r="L102" s="10"/>
      <c r="O102" s="10"/>
      <c r="P102" s="10"/>
    </row>
    <row r="103" spans="2:16" s="4" customFormat="1" ht="15" customHeight="1">
      <c r="E103" s="10"/>
      <c r="F103" s="10"/>
      <c r="K103" s="10"/>
      <c r="L103" s="10"/>
      <c r="O103" s="10"/>
      <c r="P103" s="10"/>
    </row>
    <row r="104" spans="2:16" s="4" customFormat="1" ht="15" customHeight="1">
      <c r="E104" s="10"/>
      <c r="F104" s="10"/>
      <c r="K104" s="10"/>
      <c r="L104" s="10"/>
      <c r="O104" s="10"/>
      <c r="P104" s="10"/>
    </row>
    <row r="105" spans="2:16" s="4" customFormat="1" ht="15" customHeight="1">
      <c r="E105" s="10"/>
      <c r="F105" s="10"/>
      <c r="K105" s="10"/>
      <c r="L105" s="10"/>
      <c r="O105" s="10"/>
      <c r="P105" s="10"/>
    </row>
    <row r="106" spans="2:16" s="4" customFormat="1" ht="15" customHeight="1">
      <c r="E106" s="10"/>
      <c r="F106" s="10"/>
      <c r="K106" s="10"/>
      <c r="L106" s="10"/>
      <c r="O106" s="10"/>
      <c r="P106" s="10"/>
    </row>
    <row r="107" spans="2:16" s="4" customFormat="1" ht="15" customHeight="1">
      <c r="E107" s="10"/>
      <c r="F107" s="10"/>
      <c r="K107" s="10"/>
      <c r="L107" s="10"/>
      <c r="O107" s="10"/>
      <c r="P107" s="10"/>
    </row>
    <row r="108" spans="2:16" s="4" customFormat="1" ht="15" customHeight="1">
      <c r="E108" s="10"/>
      <c r="F108" s="10"/>
      <c r="K108" s="10"/>
      <c r="L108" s="10"/>
      <c r="O108" s="10"/>
      <c r="P108" s="10"/>
    </row>
    <row r="109" spans="2:16" s="4" customFormat="1" ht="15" customHeight="1">
      <c r="E109" s="10"/>
      <c r="F109" s="10"/>
      <c r="K109" s="10"/>
      <c r="L109" s="10"/>
      <c r="O109" s="10"/>
      <c r="P109" s="10"/>
    </row>
    <row r="110" spans="2:16" s="4" customFormat="1" ht="15" customHeight="1">
      <c r="E110" s="10"/>
      <c r="F110" s="10"/>
      <c r="K110" s="10"/>
      <c r="L110" s="10"/>
      <c r="O110" s="10"/>
      <c r="P110" s="10"/>
    </row>
    <row r="111" spans="2:16" s="4" customFormat="1" ht="15" customHeight="1">
      <c r="E111" s="10"/>
      <c r="F111" s="10"/>
      <c r="K111" s="10"/>
      <c r="L111" s="10"/>
      <c r="O111" s="10"/>
      <c r="P111" s="10"/>
    </row>
    <row r="112" spans="2:16" s="4" customFormat="1" ht="15" customHeight="1">
      <c r="B112" s="5"/>
      <c r="C112" s="5"/>
      <c r="E112" s="10"/>
      <c r="F112" s="10"/>
      <c r="K112" s="10"/>
      <c r="L112" s="10"/>
      <c r="O112" s="10"/>
      <c r="P112" s="10"/>
    </row>
    <row r="113" spans="2:16" s="4" customFormat="1" ht="15" customHeight="1">
      <c r="B113" s="5"/>
      <c r="C113" s="5"/>
      <c r="E113" s="10"/>
      <c r="F113" s="10"/>
      <c r="K113" s="10"/>
      <c r="L113" s="10"/>
      <c r="O113" s="10"/>
      <c r="P113" s="10"/>
    </row>
    <row r="114" spans="2:16" s="4" customFormat="1" ht="15" customHeight="1">
      <c r="B114" s="5"/>
      <c r="C114" s="5"/>
      <c r="E114" s="19"/>
      <c r="F114" s="19"/>
      <c r="K114" s="10"/>
      <c r="L114" s="10"/>
      <c r="O114" s="10"/>
      <c r="P114" s="10"/>
    </row>
    <row r="115" spans="2:16" s="4" customFormat="1" ht="15" customHeight="1">
      <c r="B115" s="5"/>
      <c r="C115" s="5"/>
      <c r="E115" s="19"/>
      <c r="F115" s="19"/>
      <c r="H115" s="5"/>
      <c r="I115" s="5"/>
      <c r="K115" s="10"/>
      <c r="L115" s="10"/>
      <c r="O115" s="10"/>
      <c r="P115" s="10"/>
    </row>
    <row r="116" spans="2:16" s="4" customFormat="1" ht="15" customHeight="1">
      <c r="B116" s="5"/>
      <c r="C116" s="5"/>
      <c r="E116" s="19"/>
      <c r="F116" s="19"/>
      <c r="H116" s="5"/>
      <c r="I116" s="5"/>
      <c r="K116" s="10"/>
      <c r="L116" s="10"/>
      <c r="O116" s="10"/>
      <c r="P116" s="10"/>
    </row>
    <row r="117" spans="2:16" s="4" customFormat="1" ht="15" customHeight="1">
      <c r="B117" s="5"/>
      <c r="C117" s="5"/>
      <c r="E117" s="19"/>
      <c r="F117" s="19"/>
      <c r="H117" s="5"/>
      <c r="I117" s="5"/>
      <c r="K117" s="10"/>
      <c r="L117" s="10"/>
      <c r="O117" s="10"/>
      <c r="P117" s="10"/>
    </row>
    <row r="118" spans="2:16" s="4" customFormat="1" ht="15" customHeight="1">
      <c r="B118" s="5"/>
      <c r="C118" s="5"/>
      <c r="E118" s="19"/>
      <c r="F118" s="19"/>
      <c r="H118" s="5"/>
      <c r="I118" s="5"/>
      <c r="K118" s="10"/>
      <c r="L118" s="10"/>
      <c r="O118" s="10"/>
      <c r="P118" s="10"/>
    </row>
    <row r="119" spans="2:16" s="4" customFormat="1" ht="15" customHeight="1">
      <c r="B119" s="5"/>
      <c r="C119" s="5"/>
      <c r="E119" s="19"/>
      <c r="F119" s="19"/>
      <c r="H119" s="5"/>
      <c r="I119" s="5"/>
      <c r="K119" s="10"/>
      <c r="L119" s="10"/>
      <c r="O119" s="10"/>
      <c r="P119" s="10"/>
    </row>
    <row r="120" spans="2:16" s="4" customFormat="1" ht="15" customHeight="1">
      <c r="B120" s="5"/>
      <c r="C120" s="5"/>
      <c r="E120" s="19"/>
      <c r="F120" s="19"/>
      <c r="H120" s="5"/>
      <c r="I120" s="5"/>
      <c r="K120" s="10"/>
      <c r="L120" s="10"/>
      <c r="O120" s="10"/>
      <c r="P120" s="10"/>
    </row>
    <row r="121" spans="2:16" s="4" customFormat="1" ht="15" customHeight="1">
      <c r="B121" s="5"/>
      <c r="C121" s="5"/>
      <c r="E121" s="19"/>
      <c r="F121" s="19"/>
      <c r="H121" s="5"/>
      <c r="I121" s="5"/>
      <c r="K121" s="10"/>
      <c r="L121" s="10"/>
      <c r="O121" s="10"/>
      <c r="P121" s="10"/>
    </row>
    <row r="122" spans="2:16" s="4" customFormat="1" ht="15" customHeight="1">
      <c r="B122" s="5"/>
      <c r="C122" s="5"/>
      <c r="E122" s="19"/>
      <c r="F122" s="19"/>
      <c r="H122" s="5"/>
      <c r="I122" s="5"/>
      <c r="K122" s="10"/>
      <c r="L122" s="10"/>
      <c r="O122" s="10"/>
      <c r="P122" s="10"/>
    </row>
    <row r="123" spans="2:16" s="4" customFormat="1" ht="15" customHeight="1">
      <c r="B123" s="5"/>
      <c r="C123" s="5"/>
      <c r="E123" s="19"/>
      <c r="F123" s="19"/>
      <c r="H123" s="5"/>
      <c r="I123" s="5"/>
      <c r="K123" s="10"/>
      <c r="L123" s="10"/>
      <c r="O123" s="10"/>
      <c r="P123" s="10"/>
    </row>
    <row r="124" spans="2:16" s="4" customFormat="1" ht="15" customHeight="1">
      <c r="B124" s="5"/>
      <c r="C124" s="5"/>
      <c r="E124" s="19"/>
      <c r="F124" s="19"/>
      <c r="H124" s="5"/>
      <c r="I124" s="5"/>
      <c r="K124" s="10"/>
      <c r="L124" s="10"/>
      <c r="O124" s="10"/>
      <c r="P124" s="10"/>
    </row>
    <row r="125" spans="2:16" s="4" customFormat="1" ht="15" customHeight="1">
      <c r="B125" s="5"/>
      <c r="C125" s="5"/>
      <c r="E125" s="19"/>
      <c r="F125" s="19"/>
      <c r="H125" s="5"/>
      <c r="I125" s="5"/>
      <c r="K125" s="10"/>
      <c r="L125" s="10"/>
      <c r="O125" s="10"/>
      <c r="P125" s="10"/>
    </row>
    <row r="126" spans="2:16" s="4" customFormat="1" ht="15" customHeight="1">
      <c r="B126" s="5"/>
      <c r="C126" s="5"/>
      <c r="E126" s="19"/>
      <c r="F126" s="19"/>
      <c r="H126" s="5"/>
      <c r="I126" s="5"/>
      <c r="K126" s="10"/>
      <c r="L126" s="10"/>
      <c r="O126" s="10"/>
      <c r="P126" s="10"/>
    </row>
    <row r="127" spans="2:16" s="4" customFormat="1" ht="15" customHeight="1">
      <c r="B127" s="5"/>
      <c r="C127" s="5"/>
      <c r="E127" s="19"/>
      <c r="F127" s="19"/>
      <c r="H127" s="5"/>
      <c r="I127" s="5"/>
      <c r="K127" s="10"/>
      <c r="L127" s="10"/>
      <c r="O127" s="10"/>
      <c r="P127" s="10"/>
    </row>
    <row r="128" spans="2:16" s="4" customFormat="1" ht="15" customHeight="1">
      <c r="B128" s="5"/>
      <c r="C128" s="5"/>
      <c r="E128" s="19"/>
      <c r="F128" s="19"/>
      <c r="H128" s="5"/>
      <c r="I128" s="5"/>
      <c r="K128" s="10"/>
      <c r="L128" s="10"/>
      <c r="O128" s="10"/>
      <c r="P128" s="10"/>
    </row>
    <row r="129" spans="2:18" s="4" customFormat="1" ht="15" customHeight="1">
      <c r="B129" s="5"/>
      <c r="C129" s="5"/>
      <c r="E129" s="19"/>
      <c r="F129" s="19"/>
      <c r="H129" s="5"/>
      <c r="I129" s="5"/>
      <c r="K129" s="10"/>
      <c r="L129" s="10"/>
      <c r="O129" s="10"/>
      <c r="P129" s="10"/>
    </row>
    <row r="130" spans="2:18" s="4" customFormat="1" ht="15" customHeight="1">
      <c r="B130" s="5"/>
      <c r="C130" s="5"/>
      <c r="E130" s="19"/>
      <c r="F130" s="19"/>
      <c r="H130" s="5"/>
      <c r="I130" s="5"/>
      <c r="K130" s="10"/>
      <c r="L130" s="10"/>
      <c r="O130" s="10"/>
      <c r="P130" s="10"/>
    </row>
    <row r="131" spans="2:18" s="4" customFormat="1" ht="15" customHeight="1">
      <c r="B131" s="5"/>
      <c r="C131" s="5"/>
      <c r="E131" s="19"/>
      <c r="F131" s="19"/>
      <c r="H131" s="5"/>
      <c r="I131" s="5"/>
      <c r="K131" s="10"/>
      <c r="L131" s="19"/>
      <c r="O131" s="10"/>
      <c r="P131" s="10"/>
    </row>
    <row r="132" spans="2:18" s="4" customFormat="1" ht="15" customHeight="1">
      <c r="B132" s="5"/>
      <c r="C132" s="5"/>
      <c r="D132" s="5"/>
      <c r="E132" s="19"/>
      <c r="F132" s="19"/>
      <c r="H132" s="5"/>
      <c r="I132" s="5"/>
      <c r="K132" s="10"/>
      <c r="L132" s="19"/>
      <c r="N132" s="5"/>
      <c r="O132" s="19"/>
      <c r="P132" s="19"/>
      <c r="R132" s="5"/>
    </row>
    <row r="133" spans="2:18" s="4" customFormat="1" ht="15" customHeight="1">
      <c r="B133" s="5"/>
      <c r="C133" s="5"/>
      <c r="D133" s="5"/>
      <c r="E133" s="19"/>
      <c r="F133" s="19"/>
      <c r="H133" s="5"/>
      <c r="I133" s="5"/>
      <c r="J133" s="5"/>
      <c r="K133" s="19"/>
      <c r="L133" s="19"/>
      <c r="N133" s="5"/>
      <c r="O133" s="19"/>
      <c r="P133" s="19"/>
      <c r="R133" s="5"/>
    </row>
  </sheetData>
  <mergeCells count="19">
    <mergeCell ref="B9:C17"/>
    <mergeCell ref="L10:O10"/>
    <mergeCell ref="B1:F1"/>
    <mergeCell ref="L1:O1"/>
    <mergeCell ref="H1:J1"/>
    <mergeCell ref="H2:J2"/>
    <mergeCell ref="B2:C8"/>
    <mergeCell ref="L2:N2"/>
    <mergeCell ref="L18:N18"/>
    <mergeCell ref="B43:C43"/>
    <mergeCell ref="E43:F43"/>
    <mergeCell ref="H43:I43"/>
    <mergeCell ref="K43:L43"/>
    <mergeCell ref="B30:F30"/>
    <mergeCell ref="B38:D38"/>
    <mergeCell ref="B18:C23"/>
    <mergeCell ref="B24:C27"/>
    <mergeCell ref="D27:D28"/>
    <mergeCell ref="B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D142-7ABC-45B6-9B19-392BE1855DDD}">
  <dimension ref="A1:AG133"/>
  <sheetViews>
    <sheetView topLeftCell="F1" zoomScale="70" zoomScaleNormal="70" workbookViewId="0">
      <selection activeCell="W29" sqref="W29"/>
    </sheetView>
  </sheetViews>
  <sheetFormatPr defaultColWidth="9.140625" defaultRowHeight="15" customHeight="1"/>
  <cols>
    <col min="1" max="1" width="9.140625" style="4"/>
    <col min="2" max="2" width="21" style="5" customWidth="1"/>
    <col min="3" max="3" width="19.7109375" style="5" customWidth="1"/>
    <col min="4" max="4" width="23" style="5" customWidth="1"/>
    <col min="5" max="6" width="20.7109375" style="19" customWidth="1"/>
    <col min="7" max="7" width="5.140625" style="4" customWidth="1"/>
    <col min="8" max="9" width="19.7109375" style="5" customWidth="1"/>
    <col min="10" max="10" width="18.7109375" style="5" customWidth="1"/>
    <col min="11" max="11" width="3.85546875" style="19" customWidth="1"/>
    <col min="12" max="12" width="19.7109375" style="19" customWidth="1"/>
    <col min="13" max="13" width="14.5703125" style="4" customWidth="1"/>
    <col min="14" max="14" width="14.5703125" style="5" customWidth="1"/>
    <col min="15" max="16" width="14.5703125" style="19" customWidth="1"/>
    <col min="17" max="17" width="14.5703125" style="4" customWidth="1"/>
    <col min="18" max="18" width="14.5703125" style="5" customWidth="1"/>
    <col min="19" max="23" width="16.7109375" style="5" customWidth="1"/>
    <col min="24" max="24" width="16.7109375" style="4" customWidth="1"/>
    <col min="25" max="33" width="9.140625" style="4"/>
    <col min="34" max="16384" width="9.140625" style="5"/>
  </cols>
  <sheetData>
    <row r="1" spans="2:33" s="4" customFormat="1" ht="39" customHeight="1">
      <c r="B1" s="83" t="s">
        <v>0</v>
      </c>
      <c r="C1" s="83"/>
      <c r="D1" s="67"/>
      <c r="E1" s="67"/>
      <c r="F1" s="67"/>
      <c r="H1" s="67" t="s">
        <v>1</v>
      </c>
      <c r="I1" s="67"/>
      <c r="J1" s="67"/>
      <c r="L1" s="84"/>
      <c r="M1" s="84"/>
      <c r="N1" s="84"/>
      <c r="O1" s="84"/>
    </row>
    <row r="2" spans="2:33" ht="18" customHeight="1">
      <c r="B2" s="70" t="s">
        <v>2</v>
      </c>
      <c r="C2" s="71"/>
      <c r="D2" s="22" t="s">
        <v>3</v>
      </c>
      <c r="E2" s="21" t="s">
        <v>4</v>
      </c>
      <c r="F2" s="21" t="s">
        <v>5</v>
      </c>
      <c r="H2" s="85" t="s">
        <v>6</v>
      </c>
      <c r="I2" s="86"/>
      <c r="J2" s="87"/>
      <c r="K2" s="4"/>
      <c r="L2" s="76" t="s">
        <v>7</v>
      </c>
      <c r="M2" s="68"/>
      <c r="N2" s="68"/>
      <c r="O2" s="4"/>
      <c r="R2" s="64" t="s">
        <v>8</v>
      </c>
      <c r="S2" s="65" t="s">
        <v>9</v>
      </c>
      <c r="T2" s="4"/>
      <c r="U2" s="4"/>
      <c r="V2" s="64" t="s">
        <v>10</v>
      </c>
      <c r="W2" s="65" t="s">
        <v>9</v>
      </c>
      <c r="Z2" s="64" t="s">
        <v>11</v>
      </c>
      <c r="AA2" s="65" t="s">
        <v>9</v>
      </c>
      <c r="AD2" s="64" t="s">
        <v>12</v>
      </c>
      <c r="AE2" s="65" t="s">
        <v>9</v>
      </c>
      <c r="AF2" s="5"/>
      <c r="AG2" s="5"/>
    </row>
    <row r="3" spans="2:33" ht="15.75" customHeight="1">
      <c r="B3" s="72"/>
      <c r="C3" s="73"/>
      <c r="D3" s="6" t="s">
        <v>13</v>
      </c>
      <c r="E3" s="7">
        <v>300</v>
      </c>
      <c r="F3" s="7">
        <v>188</v>
      </c>
      <c r="H3" s="28" t="s">
        <v>14</v>
      </c>
      <c r="I3" s="29" t="s">
        <v>15</v>
      </c>
      <c r="J3" s="30" t="s">
        <v>16</v>
      </c>
      <c r="K3" s="4"/>
      <c r="L3" s="26" t="s">
        <v>17</v>
      </c>
      <c r="M3" s="26" t="s">
        <v>18</v>
      </c>
      <c r="N3" s="26" t="s">
        <v>125</v>
      </c>
      <c r="O3" s="26" t="s">
        <v>16</v>
      </c>
      <c r="Q3" s="50" t="s">
        <v>19</v>
      </c>
      <c r="R3" s="66">
        <f>O4</f>
        <v>35</v>
      </c>
      <c r="S3" s="63">
        <f>R3/R5</f>
        <v>0.68627450980392157</v>
      </c>
      <c r="T3" s="4"/>
      <c r="U3" s="50" t="s">
        <v>19</v>
      </c>
      <c r="V3" s="66">
        <f>O5</f>
        <v>9</v>
      </c>
      <c r="W3" s="63">
        <f>V3/V5</f>
        <v>0.69230769230769229</v>
      </c>
      <c r="Y3" s="50" t="s">
        <v>19</v>
      </c>
      <c r="Z3" s="66">
        <f>O6</f>
        <v>4</v>
      </c>
      <c r="AA3" s="63">
        <f>Z3/Z5</f>
        <v>0.5714285714285714</v>
      </c>
      <c r="AC3" s="50" t="s">
        <v>19</v>
      </c>
      <c r="AD3" s="66">
        <f>O7</f>
        <v>0</v>
      </c>
      <c r="AE3" s="63">
        <f>AD3/AD5</f>
        <v>0</v>
      </c>
      <c r="AF3" s="5"/>
      <c r="AG3" s="5"/>
    </row>
    <row r="4" spans="2:33" ht="15.75" customHeight="1">
      <c r="B4" s="72"/>
      <c r="C4" s="73"/>
      <c r="D4" s="6" t="s">
        <v>20</v>
      </c>
      <c r="E4" s="7">
        <v>114</v>
      </c>
      <c r="F4" s="7">
        <v>77</v>
      </c>
      <c r="H4" s="2" t="s">
        <v>21</v>
      </c>
      <c r="I4" s="7">
        <v>89</v>
      </c>
      <c r="J4" s="25">
        <f>SUM(I4)</f>
        <v>89</v>
      </c>
      <c r="K4" s="4"/>
      <c r="L4" s="2" t="s">
        <v>22</v>
      </c>
      <c r="M4" s="8">
        <v>34</v>
      </c>
      <c r="N4" s="8">
        <v>1</v>
      </c>
      <c r="O4" s="9">
        <f>SUM(M4:N4)</f>
        <v>35</v>
      </c>
      <c r="Q4" s="53" t="s">
        <v>23</v>
      </c>
      <c r="R4" s="33">
        <f>R12</f>
        <v>16</v>
      </c>
      <c r="S4" s="63">
        <f>R4/R5</f>
        <v>0.31372549019607843</v>
      </c>
      <c r="T4" s="4"/>
      <c r="U4" s="53" t="s">
        <v>23</v>
      </c>
      <c r="V4" s="33">
        <f>R13</f>
        <v>4</v>
      </c>
      <c r="W4" s="63">
        <f>V4/V5</f>
        <v>0.30769230769230771</v>
      </c>
      <c r="Y4" s="53" t="s">
        <v>23</v>
      </c>
      <c r="Z4" s="33">
        <f>R14</f>
        <v>3</v>
      </c>
      <c r="AA4" s="63">
        <f>Z4/Z5</f>
        <v>0.42857142857142855</v>
      </c>
      <c r="AC4" s="53" t="s">
        <v>23</v>
      </c>
      <c r="AD4" s="33">
        <f>U23</f>
        <v>3</v>
      </c>
      <c r="AE4" s="63">
        <f>AD4/AD5</f>
        <v>1</v>
      </c>
      <c r="AF4" s="5"/>
      <c r="AG4" s="5"/>
    </row>
    <row r="5" spans="2:33" ht="15.75" customHeight="1">
      <c r="B5" s="72"/>
      <c r="C5" s="73"/>
      <c r="D5" s="6" t="s">
        <v>24</v>
      </c>
      <c r="E5" s="7">
        <v>656</v>
      </c>
      <c r="F5" s="7">
        <v>416</v>
      </c>
      <c r="H5" s="31" t="s">
        <v>25</v>
      </c>
      <c r="I5" s="32">
        <f>SUM(I4)</f>
        <v>89</v>
      </c>
      <c r="J5" s="30">
        <f>SUM(J4)</f>
        <v>89</v>
      </c>
      <c r="K5" s="4"/>
      <c r="L5" s="2" t="s">
        <v>26</v>
      </c>
      <c r="M5" s="8">
        <v>8</v>
      </c>
      <c r="N5" s="8">
        <v>1</v>
      </c>
      <c r="O5" s="9">
        <f t="shared" ref="O5:O7" si="0">SUM(M5:N5)</f>
        <v>9</v>
      </c>
      <c r="Q5" s="51" t="s">
        <v>16</v>
      </c>
      <c r="R5" s="52">
        <f>R3+R4</f>
        <v>51</v>
      </c>
      <c r="S5" s="33">
        <v>100</v>
      </c>
      <c r="T5" s="4"/>
      <c r="U5" s="51" t="s">
        <v>16</v>
      </c>
      <c r="V5" s="52">
        <f>V3+V4</f>
        <v>13</v>
      </c>
      <c r="W5" s="33">
        <v>100</v>
      </c>
      <c r="Y5" s="51" t="s">
        <v>16</v>
      </c>
      <c r="Z5" s="52">
        <f>Z3+Z4</f>
        <v>7</v>
      </c>
      <c r="AA5" s="33">
        <v>100</v>
      </c>
      <c r="AC5" s="51" t="s">
        <v>16</v>
      </c>
      <c r="AD5" s="52">
        <f>AD3+AD4</f>
        <v>3</v>
      </c>
      <c r="AE5" s="33">
        <v>100</v>
      </c>
      <c r="AF5" s="5"/>
      <c r="AG5" s="5"/>
    </row>
    <row r="6" spans="2:33" ht="15.75" customHeight="1">
      <c r="B6" s="72"/>
      <c r="C6" s="73"/>
      <c r="D6" s="6" t="s">
        <v>27</v>
      </c>
      <c r="E6" s="7">
        <v>200</v>
      </c>
      <c r="F6" s="7">
        <v>186</v>
      </c>
      <c r="H6" s="10"/>
      <c r="I6" s="3"/>
      <c r="J6" s="3"/>
      <c r="K6" s="4"/>
      <c r="L6" s="2" t="s">
        <v>28</v>
      </c>
      <c r="M6" s="8">
        <v>1</v>
      </c>
      <c r="N6" s="8">
        <v>3</v>
      </c>
      <c r="O6" s="9">
        <f t="shared" si="0"/>
        <v>4</v>
      </c>
      <c r="P6" s="4"/>
      <c r="R6" s="4"/>
      <c r="S6" s="4"/>
      <c r="T6" s="4"/>
      <c r="U6" s="4"/>
      <c r="V6" s="4"/>
      <c r="W6" s="4"/>
      <c r="Y6" s="5"/>
      <c r="Z6" s="5"/>
      <c r="AA6" s="5"/>
      <c r="AB6" s="5"/>
      <c r="AC6" s="5"/>
      <c r="AD6" s="5"/>
      <c r="AE6" s="5"/>
      <c r="AF6" s="5"/>
      <c r="AG6" s="5"/>
    </row>
    <row r="7" spans="2:33" ht="15.75" customHeight="1">
      <c r="B7" s="72"/>
      <c r="C7" s="73"/>
      <c r="D7" s="6" t="s">
        <v>29</v>
      </c>
      <c r="E7" s="7">
        <v>92</v>
      </c>
      <c r="F7" s="7">
        <v>70</v>
      </c>
      <c r="H7" s="10"/>
      <c r="I7" s="3"/>
      <c r="J7" s="3"/>
      <c r="K7" s="4"/>
      <c r="L7" s="2" t="s">
        <v>1</v>
      </c>
      <c r="M7" s="8">
        <v>0</v>
      </c>
      <c r="N7" s="8">
        <v>0</v>
      </c>
      <c r="O7" s="9">
        <f t="shared" si="0"/>
        <v>0</v>
      </c>
      <c r="P7" s="4"/>
      <c r="R7" s="4"/>
      <c r="S7" s="4"/>
      <c r="T7" s="4"/>
      <c r="U7" s="4"/>
      <c r="V7" s="4"/>
      <c r="W7" s="4"/>
      <c r="Y7" s="5"/>
      <c r="Z7" s="5"/>
      <c r="AA7" s="5"/>
      <c r="AB7" s="5"/>
      <c r="AC7" s="5"/>
      <c r="AD7" s="5"/>
      <c r="AE7" s="5"/>
      <c r="AF7" s="5"/>
      <c r="AG7" s="5"/>
    </row>
    <row r="8" spans="2:33" ht="15.75" customHeight="1">
      <c r="B8" s="74"/>
      <c r="C8" s="75"/>
      <c r="D8" s="24" t="s">
        <v>30</v>
      </c>
      <c r="E8" s="23">
        <f>SUM(E3:E7)</f>
        <v>1362</v>
      </c>
      <c r="F8" s="23">
        <f>SUM(F3:F7)</f>
        <v>937</v>
      </c>
      <c r="H8" s="4"/>
      <c r="I8" s="4"/>
      <c r="J8" s="10"/>
      <c r="K8" s="4"/>
      <c r="L8" s="27" t="s">
        <v>31</v>
      </c>
      <c r="M8" s="27">
        <f>SUM(M4:M7)</f>
        <v>43</v>
      </c>
      <c r="N8" s="27">
        <f>SUM(N4:N7)</f>
        <v>5</v>
      </c>
      <c r="O8" s="27">
        <f>SUM(O4:O7)</f>
        <v>48</v>
      </c>
      <c r="P8" s="4"/>
      <c r="R8" s="4"/>
      <c r="S8" s="4"/>
      <c r="T8" s="4"/>
      <c r="U8" s="4"/>
      <c r="V8" s="4"/>
      <c r="W8" s="4"/>
      <c r="Y8" s="5"/>
      <c r="Z8" s="5"/>
      <c r="AA8" s="5"/>
      <c r="AB8" s="5"/>
      <c r="AC8" s="5"/>
      <c r="AD8" s="5"/>
      <c r="AE8" s="5"/>
      <c r="AF8" s="5"/>
      <c r="AG8" s="5"/>
    </row>
    <row r="9" spans="2:33" ht="15.75" customHeight="1">
      <c r="B9" s="70" t="s">
        <v>32</v>
      </c>
      <c r="C9" s="71"/>
      <c r="D9" s="22" t="s">
        <v>33</v>
      </c>
      <c r="E9" s="21" t="s">
        <v>4</v>
      </c>
      <c r="F9" s="21" t="s">
        <v>5</v>
      </c>
      <c r="H9" s="4"/>
      <c r="I9" s="4"/>
      <c r="J9" s="10"/>
      <c r="K9" s="4"/>
      <c r="L9" s="4"/>
      <c r="N9" s="4"/>
      <c r="O9" s="4"/>
      <c r="P9" s="4"/>
      <c r="R9" s="4"/>
      <c r="S9" s="4"/>
      <c r="T9" s="4"/>
      <c r="U9" s="4"/>
      <c r="V9" s="4"/>
      <c r="W9" s="4"/>
      <c r="Y9" s="5"/>
      <c r="Z9" s="5"/>
      <c r="AA9" s="5"/>
      <c r="AB9" s="5"/>
      <c r="AC9" s="5"/>
      <c r="AD9" s="5"/>
      <c r="AE9" s="5"/>
      <c r="AF9" s="5"/>
      <c r="AG9" s="5"/>
    </row>
    <row r="10" spans="2:33" ht="15.75" customHeight="1">
      <c r="B10" s="72"/>
      <c r="C10" s="73"/>
      <c r="D10" s="6" t="s">
        <v>34</v>
      </c>
      <c r="E10" s="7">
        <v>79</v>
      </c>
      <c r="F10" s="7">
        <v>60</v>
      </c>
      <c r="H10" s="4"/>
      <c r="I10" s="10"/>
      <c r="J10" s="4"/>
      <c r="K10" s="4"/>
      <c r="L10" s="81" t="s">
        <v>35</v>
      </c>
      <c r="M10" s="82"/>
      <c r="N10" s="82"/>
      <c r="O10" s="82"/>
      <c r="S10" s="4"/>
      <c r="T10" s="4"/>
      <c r="U10" s="4"/>
      <c r="V10" s="4"/>
      <c r="W10" s="4"/>
      <c r="Y10" s="5"/>
      <c r="Z10" s="5"/>
      <c r="AA10" s="5"/>
      <c r="AB10" s="5"/>
      <c r="AC10" s="5"/>
      <c r="AD10" s="5"/>
      <c r="AE10" s="5"/>
      <c r="AF10" s="5"/>
      <c r="AG10" s="5"/>
    </row>
    <row r="11" spans="2:33" ht="15.75" customHeight="1">
      <c r="B11" s="72"/>
      <c r="C11" s="73"/>
      <c r="D11" s="6" t="s">
        <v>36</v>
      </c>
      <c r="E11" s="7">
        <v>151</v>
      </c>
      <c r="F11" s="7">
        <v>123</v>
      </c>
      <c r="H11" s="4"/>
      <c r="I11" s="10"/>
      <c r="J11" s="4"/>
      <c r="K11" s="4"/>
      <c r="L11" s="26" t="s">
        <v>17</v>
      </c>
      <c r="M11" s="26" t="s">
        <v>13</v>
      </c>
      <c r="N11" s="26" t="s">
        <v>20</v>
      </c>
      <c r="O11" s="26" t="s">
        <v>27</v>
      </c>
      <c r="P11" s="26" t="s">
        <v>37</v>
      </c>
      <c r="Q11" s="26" t="s">
        <v>38</v>
      </c>
      <c r="R11" s="26" t="s">
        <v>16</v>
      </c>
      <c r="T11" s="4"/>
      <c r="U11" s="4"/>
      <c r="V11" s="4"/>
      <c r="W11" s="4"/>
      <c r="Y11" s="5"/>
      <c r="Z11" s="5"/>
      <c r="AA11" s="5"/>
      <c r="AB11" s="5"/>
      <c r="AC11" s="5"/>
      <c r="AD11" s="5"/>
      <c r="AE11" s="5"/>
      <c r="AF11" s="5"/>
      <c r="AG11" s="5"/>
    </row>
    <row r="12" spans="2:33" ht="15.75" customHeight="1">
      <c r="B12" s="72"/>
      <c r="C12" s="73"/>
      <c r="D12" s="6" t="s">
        <v>39</v>
      </c>
      <c r="E12" s="7">
        <v>150</v>
      </c>
      <c r="F12" s="7">
        <v>99</v>
      </c>
      <c r="H12" s="4"/>
      <c r="I12" s="10"/>
      <c r="J12" s="4"/>
      <c r="K12" s="4"/>
      <c r="L12" s="11" t="s">
        <v>22</v>
      </c>
      <c r="M12" s="8">
        <v>5</v>
      </c>
      <c r="N12" s="8">
        <v>5</v>
      </c>
      <c r="O12" s="20">
        <v>1</v>
      </c>
      <c r="P12" s="8">
        <v>5</v>
      </c>
      <c r="Q12" s="8">
        <v>2</v>
      </c>
      <c r="R12" s="8">
        <v>16</v>
      </c>
      <c r="T12" s="4"/>
      <c r="U12" s="4"/>
      <c r="V12" s="4"/>
      <c r="W12" s="4"/>
      <c r="Y12" s="5"/>
      <c r="Z12" s="5"/>
      <c r="AA12" s="5"/>
      <c r="AB12" s="5"/>
      <c r="AC12" s="5"/>
      <c r="AD12" s="5"/>
      <c r="AE12" s="5"/>
      <c r="AF12" s="5"/>
      <c r="AG12" s="5"/>
    </row>
    <row r="13" spans="2:33" ht="15.75" customHeight="1">
      <c r="B13" s="72"/>
      <c r="C13" s="73"/>
      <c r="D13" s="6" t="s">
        <v>40</v>
      </c>
      <c r="E13" s="7">
        <v>94</v>
      </c>
      <c r="F13" s="7">
        <v>84</v>
      </c>
      <c r="H13" s="4"/>
      <c r="I13" s="10"/>
      <c r="J13" s="4"/>
      <c r="K13" s="4"/>
      <c r="L13" s="11" t="s">
        <v>26</v>
      </c>
      <c r="M13" s="12">
        <v>1</v>
      </c>
      <c r="N13" s="12">
        <v>1</v>
      </c>
      <c r="O13" s="12">
        <v>1</v>
      </c>
      <c r="P13" s="12">
        <v>1</v>
      </c>
      <c r="Q13" s="12">
        <v>2</v>
      </c>
      <c r="R13" s="8">
        <v>4</v>
      </c>
      <c r="T13" s="4"/>
      <c r="U13" s="4"/>
      <c r="V13" s="4"/>
      <c r="W13" s="4"/>
      <c r="Y13" s="5"/>
      <c r="Z13" s="5"/>
      <c r="AA13" s="5"/>
      <c r="AB13" s="5"/>
      <c r="AC13" s="5"/>
      <c r="AD13" s="5"/>
      <c r="AE13" s="5"/>
      <c r="AF13" s="5"/>
      <c r="AG13" s="5"/>
    </row>
    <row r="14" spans="2:33" ht="15.75" customHeight="1">
      <c r="B14" s="72"/>
      <c r="C14" s="73"/>
      <c r="D14" s="6" t="s">
        <v>41</v>
      </c>
      <c r="E14" s="7">
        <v>81</v>
      </c>
      <c r="F14" s="7">
        <v>65</v>
      </c>
      <c r="H14" s="4"/>
      <c r="I14" s="10"/>
      <c r="J14" s="4"/>
      <c r="K14" s="4"/>
      <c r="L14" s="13" t="s">
        <v>28</v>
      </c>
      <c r="M14" s="7">
        <v>1</v>
      </c>
      <c r="N14" s="7">
        <v>0</v>
      </c>
      <c r="O14" s="7">
        <v>1</v>
      </c>
      <c r="P14" s="7">
        <v>1</v>
      </c>
      <c r="Q14" s="7">
        <v>0</v>
      </c>
      <c r="R14" s="8">
        <v>3</v>
      </c>
      <c r="T14" s="4"/>
      <c r="U14" s="4"/>
      <c r="V14" s="4"/>
      <c r="W14" s="4"/>
      <c r="Y14" s="5"/>
      <c r="Z14" s="5"/>
      <c r="AA14" s="5"/>
      <c r="AB14" s="5"/>
      <c r="AC14" s="5"/>
      <c r="AD14" s="5"/>
      <c r="AE14" s="5"/>
      <c r="AF14" s="5"/>
      <c r="AG14" s="5"/>
    </row>
    <row r="15" spans="2:33" ht="15.75" customHeight="1">
      <c r="B15" s="72"/>
      <c r="C15" s="73"/>
      <c r="D15" s="6" t="s">
        <v>42</v>
      </c>
      <c r="E15" s="7">
        <v>127</v>
      </c>
      <c r="F15" s="7">
        <v>100</v>
      </c>
      <c r="H15" s="4"/>
      <c r="I15" s="10"/>
      <c r="J15" s="4"/>
      <c r="K15" s="4"/>
      <c r="L15" s="13" t="s">
        <v>1</v>
      </c>
      <c r="M15" s="7">
        <v>0</v>
      </c>
      <c r="N15" s="7">
        <v>0</v>
      </c>
      <c r="O15" s="7">
        <v>1</v>
      </c>
      <c r="P15" s="7">
        <v>2</v>
      </c>
      <c r="Q15" s="7">
        <v>0</v>
      </c>
      <c r="R15" s="8">
        <v>0</v>
      </c>
      <c r="T15" s="4"/>
      <c r="U15" s="4"/>
      <c r="V15" s="4"/>
      <c r="W15" s="4"/>
      <c r="Y15" s="5"/>
      <c r="Z15" s="5"/>
      <c r="AA15" s="5"/>
      <c r="AB15" s="5"/>
      <c r="AC15" s="5"/>
      <c r="AD15" s="5"/>
      <c r="AE15" s="5"/>
      <c r="AF15" s="5"/>
      <c r="AG15" s="5"/>
    </row>
    <row r="16" spans="2:33" ht="15.75" customHeight="1">
      <c r="B16" s="72"/>
      <c r="C16" s="73"/>
      <c r="D16" s="6" t="s">
        <v>43</v>
      </c>
      <c r="E16" s="7">
        <v>90</v>
      </c>
      <c r="F16" s="7">
        <v>76</v>
      </c>
      <c r="H16" s="4"/>
      <c r="I16" s="10"/>
      <c r="J16" s="4"/>
      <c r="K16" s="4"/>
      <c r="L16" s="27" t="s">
        <v>31</v>
      </c>
      <c r="M16" s="27">
        <f>SUM(M12:M15)</f>
        <v>7</v>
      </c>
      <c r="N16" s="27">
        <f>SUM(N12:N15)</f>
        <v>6</v>
      </c>
      <c r="O16" s="27">
        <f>SUM(O12:O15)</f>
        <v>4</v>
      </c>
      <c r="P16" s="27">
        <f>SUM(P12:P15)</f>
        <v>9</v>
      </c>
      <c r="Q16" s="27">
        <f>SUM(Q12:Q15)</f>
        <v>4</v>
      </c>
      <c r="R16" s="27">
        <f>SUM(R12:R15)</f>
        <v>23</v>
      </c>
      <c r="T16" s="4"/>
      <c r="U16" s="4"/>
      <c r="V16" s="4"/>
      <c r="W16" s="4"/>
      <c r="Y16" s="5"/>
      <c r="Z16" s="5"/>
      <c r="AA16" s="5"/>
      <c r="AB16" s="5"/>
      <c r="AC16" s="5"/>
      <c r="AD16" s="5"/>
      <c r="AE16" s="5"/>
      <c r="AF16" s="5"/>
      <c r="AG16" s="5"/>
    </row>
    <row r="17" spans="2:33" ht="15.75" customHeight="1">
      <c r="B17" s="74"/>
      <c r="C17" s="75"/>
      <c r="D17" s="24" t="s">
        <v>30</v>
      </c>
      <c r="E17" s="23">
        <f>SUM(E10:E16)</f>
        <v>772</v>
      </c>
      <c r="F17" s="23">
        <f>SUM(F10:F16)</f>
        <v>607</v>
      </c>
      <c r="H17" s="4"/>
      <c r="I17" s="10"/>
      <c r="J17" s="4"/>
      <c r="K17" s="4"/>
      <c r="L17" s="5"/>
      <c r="M17" s="5"/>
      <c r="O17" s="4"/>
      <c r="P17" s="4"/>
      <c r="R17" s="4"/>
      <c r="S17" s="4"/>
      <c r="T17" s="4"/>
      <c r="U17" s="4"/>
      <c r="V17" s="4"/>
      <c r="W17" s="4"/>
      <c r="Y17" s="5"/>
      <c r="Z17" s="5"/>
      <c r="AA17" s="5"/>
      <c r="AB17" s="5"/>
      <c r="AC17" s="5"/>
      <c r="AD17" s="5"/>
      <c r="AE17" s="5"/>
      <c r="AF17" s="5"/>
      <c r="AG17" s="5"/>
    </row>
    <row r="18" spans="2:33" ht="15.75" customHeight="1">
      <c r="B18" s="70" t="s">
        <v>44</v>
      </c>
      <c r="C18" s="71"/>
      <c r="D18" s="22" t="s">
        <v>19</v>
      </c>
      <c r="E18" s="21" t="s">
        <v>4</v>
      </c>
      <c r="F18" s="21" t="s">
        <v>5</v>
      </c>
      <c r="H18" s="4"/>
      <c r="I18" s="10"/>
      <c r="J18" s="4"/>
      <c r="K18" s="4"/>
      <c r="L18" s="76" t="s">
        <v>45</v>
      </c>
      <c r="M18" s="68"/>
      <c r="N18" s="68"/>
      <c r="O18" s="4"/>
      <c r="P18" s="4"/>
      <c r="R18" s="4"/>
      <c r="S18" s="4"/>
      <c r="T18" s="4"/>
      <c r="U18" s="4"/>
      <c r="V18" s="4"/>
      <c r="W18" s="4"/>
      <c r="Y18" s="5"/>
      <c r="Z18" s="5"/>
      <c r="AA18" s="5"/>
      <c r="AB18" s="5"/>
      <c r="AC18" s="5"/>
      <c r="AD18" s="5"/>
      <c r="AE18" s="5"/>
      <c r="AF18" s="5"/>
      <c r="AG18" s="5"/>
    </row>
    <row r="19" spans="2:33" ht="15.75" customHeight="1">
      <c r="B19" s="72"/>
      <c r="C19" s="73"/>
      <c r="D19" s="6" t="s">
        <v>46</v>
      </c>
      <c r="E19" s="7">
        <v>19</v>
      </c>
      <c r="F19" s="7">
        <v>8</v>
      </c>
      <c r="H19" s="4"/>
      <c r="I19" s="10"/>
      <c r="J19" s="4"/>
      <c r="K19" s="4"/>
      <c r="L19" s="26" t="s">
        <v>17</v>
      </c>
      <c r="M19" s="26" t="s">
        <v>34</v>
      </c>
      <c r="N19" s="26" t="s">
        <v>36</v>
      </c>
      <c r="O19" s="26" t="s">
        <v>40</v>
      </c>
      <c r="P19" s="26" t="s">
        <v>39</v>
      </c>
      <c r="Q19" s="26" t="s">
        <v>41</v>
      </c>
      <c r="R19" s="26" t="s">
        <v>42</v>
      </c>
      <c r="S19" s="26" t="s">
        <v>47</v>
      </c>
      <c r="T19" s="26" t="s">
        <v>48</v>
      </c>
      <c r="U19" s="26" t="s">
        <v>16</v>
      </c>
      <c r="V19" s="4"/>
      <c r="W19" s="4"/>
      <c r="Y19" s="5"/>
      <c r="Z19" s="5"/>
      <c r="AA19" s="5"/>
      <c r="AB19" s="5"/>
      <c r="AC19" s="5"/>
      <c r="AD19" s="5"/>
      <c r="AE19" s="5"/>
      <c r="AF19" s="5"/>
      <c r="AG19" s="5"/>
    </row>
    <row r="20" spans="2:33" ht="15.75" customHeight="1">
      <c r="B20" s="72"/>
      <c r="C20" s="73"/>
      <c r="D20" s="14" t="s">
        <v>49</v>
      </c>
      <c r="E20" s="7">
        <v>7</v>
      </c>
      <c r="F20" s="7">
        <v>4</v>
      </c>
      <c r="H20" s="4"/>
      <c r="I20" s="10"/>
      <c r="J20" s="4"/>
      <c r="K20" s="4"/>
      <c r="L20" s="11" t="s">
        <v>22</v>
      </c>
      <c r="M20" s="8">
        <v>9</v>
      </c>
      <c r="N20" s="8">
        <v>7</v>
      </c>
      <c r="O20" s="8">
        <v>15</v>
      </c>
      <c r="P20" s="8">
        <v>5</v>
      </c>
      <c r="Q20" s="8">
        <v>3</v>
      </c>
      <c r="R20" s="8">
        <v>7</v>
      </c>
      <c r="S20" s="8">
        <v>4</v>
      </c>
      <c r="T20" s="8">
        <v>0</v>
      </c>
      <c r="U20" s="9">
        <f>SUM(M20:T20)</f>
        <v>50</v>
      </c>
      <c r="V20" s="4"/>
      <c r="W20" s="4"/>
      <c r="Y20" s="5"/>
      <c r="Z20" s="5"/>
      <c r="AA20" s="5"/>
      <c r="AB20" s="5"/>
      <c r="AC20" s="5"/>
      <c r="AD20" s="5"/>
      <c r="AE20" s="5"/>
      <c r="AF20" s="5"/>
      <c r="AG20" s="5"/>
    </row>
    <row r="21" spans="2:33" ht="15.75" customHeight="1">
      <c r="B21" s="72"/>
      <c r="C21" s="73"/>
      <c r="D21" s="14" t="s">
        <v>50</v>
      </c>
      <c r="E21" s="7">
        <v>0</v>
      </c>
      <c r="F21" s="7">
        <v>0</v>
      </c>
      <c r="H21" s="4"/>
      <c r="I21" s="10"/>
      <c r="J21" s="4"/>
      <c r="K21" s="4"/>
      <c r="L21" s="11" t="s">
        <v>26</v>
      </c>
      <c r="M21" s="12">
        <v>6</v>
      </c>
      <c r="N21" s="12">
        <v>2</v>
      </c>
      <c r="O21" s="12">
        <v>4</v>
      </c>
      <c r="P21" s="12">
        <v>2</v>
      </c>
      <c r="Q21" s="12">
        <v>0</v>
      </c>
      <c r="R21" s="12">
        <v>1</v>
      </c>
      <c r="S21" s="12">
        <v>2</v>
      </c>
      <c r="T21" s="12">
        <v>0</v>
      </c>
      <c r="U21" s="9">
        <f>SUM(M21:T21)</f>
        <v>17</v>
      </c>
      <c r="V21" s="4"/>
      <c r="W21" s="4"/>
      <c r="Y21" s="5"/>
      <c r="Z21" s="5"/>
      <c r="AA21" s="5"/>
      <c r="AB21" s="5"/>
      <c r="AC21" s="5"/>
      <c r="AD21" s="5"/>
      <c r="AE21" s="5"/>
      <c r="AF21" s="5"/>
      <c r="AG21" s="5"/>
    </row>
    <row r="22" spans="2:33" ht="15.75" customHeight="1">
      <c r="B22" s="72"/>
      <c r="C22" s="73"/>
      <c r="D22" s="6" t="s">
        <v>51</v>
      </c>
      <c r="E22" s="7">
        <v>130</v>
      </c>
      <c r="F22" s="7">
        <v>95</v>
      </c>
      <c r="H22" s="4"/>
      <c r="I22" s="10"/>
      <c r="J22" s="4"/>
      <c r="K22" s="4"/>
      <c r="L22" s="13" t="s">
        <v>28</v>
      </c>
      <c r="M22" s="7">
        <v>0</v>
      </c>
      <c r="N22" s="7">
        <v>0</v>
      </c>
      <c r="O22" s="7">
        <v>2</v>
      </c>
      <c r="P22" s="7">
        <v>1</v>
      </c>
      <c r="Q22" s="7">
        <v>0</v>
      </c>
      <c r="R22" s="7">
        <v>0</v>
      </c>
      <c r="S22" s="7">
        <v>3</v>
      </c>
      <c r="T22" s="7">
        <v>0</v>
      </c>
      <c r="U22" s="9">
        <f t="shared" ref="U22:U24" si="1">SUM(M22:T22)</f>
        <v>6</v>
      </c>
      <c r="V22" s="4"/>
      <c r="W22" s="4"/>
      <c r="Y22" s="5"/>
      <c r="Z22" s="5"/>
      <c r="AA22" s="5"/>
      <c r="AB22" s="5"/>
      <c r="AC22" s="5"/>
      <c r="AD22" s="5"/>
      <c r="AE22" s="5"/>
      <c r="AF22" s="5"/>
      <c r="AG22" s="5"/>
    </row>
    <row r="23" spans="2:33" ht="15.75" customHeight="1">
      <c r="B23" s="74"/>
      <c r="C23" s="75"/>
      <c r="D23" s="24" t="s">
        <v>30</v>
      </c>
      <c r="E23" s="23">
        <f>SUM(E19:E22)</f>
        <v>156</v>
      </c>
      <c r="F23" s="23">
        <f>SUM(F19:F22)</f>
        <v>107</v>
      </c>
      <c r="H23" s="4"/>
      <c r="I23" s="10"/>
      <c r="J23" s="4"/>
      <c r="K23" s="4"/>
      <c r="L23" s="13" t="s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62">
        <v>3</v>
      </c>
      <c r="U23" s="9">
        <f t="shared" si="1"/>
        <v>3</v>
      </c>
      <c r="V23" s="4"/>
      <c r="W23" s="4"/>
      <c r="Y23" s="5"/>
      <c r="Z23" s="5"/>
      <c r="AA23" s="5"/>
      <c r="AB23" s="5"/>
      <c r="AC23" s="5"/>
      <c r="AD23" s="5"/>
      <c r="AE23" s="5"/>
      <c r="AF23" s="5"/>
      <c r="AG23" s="5"/>
    </row>
    <row r="24" spans="2:33" ht="15.75" customHeight="1">
      <c r="B24" s="70" t="s">
        <v>52</v>
      </c>
      <c r="C24" s="71"/>
      <c r="D24" s="22" t="s">
        <v>53</v>
      </c>
      <c r="E24" s="21" t="s">
        <v>4</v>
      </c>
      <c r="F24" s="21" t="s">
        <v>5</v>
      </c>
      <c r="H24" s="4"/>
      <c r="I24" s="10"/>
      <c r="J24" s="4"/>
      <c r="K24" s="4"/>
      <c r="L24" s="13" t="s">
        <v>54</v>
      </c>
      <c r="M24" s="7">
        <v>2</v>
      </c>
      <c r="N24" s="7">
        <v>3</v>
      </c>
      <c r="O24" s="7">
        <v>1</v>
      </c>
      <c r="P24" s="7">
        <v>1</v>
      </c>
      <c r="Q24" s="7">
        <v>1</v>
      </c>
      <c r="R24" s="7">
        <v>0</v>
      </c>
      <c r="S24" s="7">
        <v>0</v>
      </c>
      <c r="T24" s="7">
        <v>0</v>
      </c>
      <c r="U24" s="9">
        <f t="shared" si="1"/>
        <v>8</v>
      </c>
      <c r="V24" s="4"/>
      <c r="W24" s="4"/>
      <c r="Y24" s="5"/>
      <c r="Z24" s="5"/>
      <c r="AA24" s="5"/>
      <c r="AB24" s="5"/>
      <c r="AC24" s="5"/>
      <c r="AD24" s="5"/>
      <c r="AE24" s="5"/>
      <c r="AF24" s="5"/>
      <c r="AG24" s="5"/>
    </row>
    <row r="25" spans="2:33" ht="15.75" customHeight="1">
      <c r="B25" s="72"/>
      <c r="C25" s="73"/>
      <c r="D25" s="6" t="s">
        <v>55</v>
      </c>
      <c r="E25" s="7">
        <v>30</v>
      </c>
      <c r="F25" s="7">
        <v>29</v>
      </c>
      <c r="H25" s="4"/>
      <c r="I25" s="10"/>
      <c r="J25" s="4"/>
      <c r="K25" s="4"/>
      <c r="L25" s="27" t="s">
        <v>31</v>
      </c>
      <c r="M25" s="27">
        <f t="shared" ref="M25:O25" si="2">SUM(M20:M24)</f>
        <v>17</v>
      </c>
      <c r="N25" s="27">
        <f t="shared" si="2"/>
        <v>12</v>
      </c>
      <c r="O25" s="27">
        <f t="shared" si="2"/>
        <v>22</v>
      </c>
      <c r="P25" s="27">
        <f>SUM(P20:P24)</f>
        <v>9</v>
      </c>
      <c r="Q25" s="27">
        <f>SUM(Q20:Q24)</f>
        <v>4</v>
      </c>
      <c r="R25" s="27">
        <f>SUM(R20:R24)</f>
        <v>8</v>
      </c>
      <c r="S25" s="27">
        <f>SUM(S20:S24)</f>
        <v>9</v>
      </c>
      <c r="T25" s="27">
        <f>SUM(T20:T24)</f>
        <v>3</v>
      </c>
      <c r="U25" s="27">
        <f>SUM(U20:U24)</f>
        <v>84</v>
      </c>
      <c r="V25" s="4"/>
      <c r="W25" s="4"/>
      <c r="Y25" s="5"/>
      <c r="Z25" s="5"/>
      <c r="AA25" s="5"/>
      <c r="AB25" s="5"/>
      <c r="AC25" s="5"/>
      <c r="AD25" s="5"/>
      <c r="AE25" s="5"/>
      <c r="AF25" s="5"/>
      <c r="AG25" s="5"/>
    </row>
    <row r="26" spans="2:33" ht="15.75" customHeight="1">
      <c r="B26" s="72"/>
      <c r="C26" s="73"/>
      <c r="D26" s="6" t="s">
        <v>56</v>
      </c>
      <c r="E26" s="7">
        <v>23</v>
      </c>
      <c r="F26" s="7">
        <v>16</v>
      </c>
      <c r="H26" s="4"/>
      <c r="I26" s="10"/>
      <c r="J26" s="4"/>
      <c r="K26" s="4"/>
      <c r="L26" s="4"/>
      <c r="N26" s="4"/>
      <c r="O26" s="4"/>
      <c r="R26" s="4"/>
      <c r="S26" s="4"/>
      <c r="T26" s="4"/>
      <c r="V26" s="4"/>
      <c r="W26" s="4"/>
      <c r="Y26" s="5"/>
      <c r="Z26" s="5"/>
      <c r="AA26" s="5"/>
      <c r="AB26" s="5"/>
      <c r="AC26" s="5"/>
      <c r="AD26" s="5"/>
      <c r="AE26" s="5"/>
      <c r="AF26" s="5"/>
      <c r="AG26" s="5"/>
    </row>
    <row r="27" spans="2:33" ht="15.75" customHeight="1">
      <c r="B27" s="74"/>
      <c r="C27" s="75"/>
      <c r="D27" s="77" t="s">
        <v>30</v>
      </c>
      <c r="E27" s="23">
        <f>SUM(E25:E26)</f>
        <v>53</v>
      </c>
      <c r="F27" s="23">
        <f>SUM(F25:F26)</f>
        <v>45</v>
      </c>
      <c r="H27" s="4"/>
      <c r="I27" s="10"/>
      <c r="J27" s="4"/>
      <c r="K27" s="4"/>
      <c r="L27" s="76" t="s">
        <v>57</v>
      </c>
      <c r="M27" s="68"/>
      <c r="N27" s="68"/>
      <c r="O27" s="4"/>
      <c r="P27" s="4"/>
      <c r="R27" s="4"/>
      <c r="S27" s="4"/>
      <c r="T27" s="4"/>
      <c r="U27" s="4"/>
      <c r="V27" s="4"/>
      <c r="W27" s="4"/>
      <c r="Y27" s="5"/>
      <c r="Z27" s="5"/>
      <c r="AA27" s="5"/>
      <c r="AB27" s="5"/>
      <c r="AC27" s="5"/>
      <c r="AD27" s="5"/>
      <c r="AE27" s="5"/>
      <c r="AF27" s="5"/>
      <c r="AG27" s="5"/>
    </row>
    <row r="28" spans="2:33" ht="15.75" customHeight="1">
      <c r="B28" s="79" t="s">
        <v>58</v>
      </c>
      <c r="C28" s="80"/>
      <c r="D28" s="78"/>
      <c r="E28" s="23">
        <f>+E8+E17+E23+E27</f>
        <v>2343</v>
      </c>
      <c r="F28" s="23">
        <f>+F8+F17+F23+F27</f>
        <v>1696</v>
      </c>
      <c r="H28" s="4"/>
      <c r="I28" s="10"/>
      <c r="J28" s="4"/>
      <c r="K28" s="4"/>
      <c r="L28" s="26" t="s">
        <v>17</v>
      </c>
      <c r="M28" s="26" t="s">
        <v>59</v>
      </c>
      <c r="N28" s="26" t="s">
        <v>60</v>
      </c>
      <c r="O28" s="4"/>
      <c r="P28" s="4"/>
      <c r="R28" s="4"/>
      <c r="S28" s="4"/>
      <c r="T28" s="4"/>
      <c r="U28" s="4"/>
      <c r="V28" s="4"/>
      <c r="W28" s="4"/>
      <c r="Y28" s="5"/>
      <c r="Z28" s="5"/>
      <c r="AA28" s="5"/>
      <c r="AB28" s="5"/>
      <c r="AC28" s="5"/>
      <c r="AD28" s="5"/>
      <c r="AE28" s="5"/>
      <c r="AF28" s="5"/>
      <c r="AG28" s="5"/>
    </row>
    <row r="29" spans="2:33" ht="15.75" customHeight="1">
      <c r="B29" s="4"/>
      <c r="C29" s="4"/>
      <c r="D29" s="4"/>
      <c r="E29" s="10"/>
      <c r="F29" s="10"/>
      <c r="H29" s="4"/>
      <c r="I29" s="10"/>
      <c r="J29" s="4"/>
      <c r="K29" s="4"/>
      <c r="L29" s="2" t="s">
        <v>61</v>
      </c>
      <c r="M29" s="8">
        <f>M8</f>
        <v>43</v>
      </c>
      <c r="N29" s="9">
        <f>F27+F23+F17</f>
        <v>759</v>
      </c>
      <c r="O29" s="4"/>
      <c r="P29" s="4"/>
      <c r="R29" s="4"/>
      <c r="S29" s="4"/>
      <c r="T29" s="4"/>
      <c r="U29" s="4"/>
      <c r="V29" s="4"/>
      <c r="W29" s="4"/>
      <c r="Y29" s="5"/>
      <c r="Z29" s="5"/>
      <c r="AA29" s="5"/>
      <c r="AB29" s="5"/>
      <c r="AC29" s="5"/>
      <c r="AD29" s="5"/>
      <c r="AE29" s="5"/>
      <c r="AF29" s="5"/>
      <c r="AG29" s="5"/>
    </row>
    <row r="30" spans="2:33" ht="15.75" customHeight="1">
      <c r="B30" s="68" t="s">
        <v>126</v>
      </c>
      <c r="C30" s="68"/>
      <c r="D30" s="68"/>
      <c r="E30" s="68"/>
      <c r="F30" s="69"/>
      <c r="H30" s="4"/>
      <c r="I30" s="10"/>
      <c r="J30" s="4"/>
      <c r="K30" s="4"/>
      <c r="L30" s="2" t="s">
        <v>63</v>
      </c>
      <c r="M30" s="8">
        <f>R16</f>
        <v>23</v>
      </c>
      <c r="N30" s="9">
        <f>F8</f>
        <v>937</v>
      </c>
      <c r="O30" s="4"/>
      <c r="P30" s="4"/>
      <c r="R30" s="4"/>
      <c r="S30" s="4"/>
      <c r="T30" s="4"/>
      <c r="U30" s="4"/>
      <c r="V30" s="4"/>
      <c r="W30" s="4"/>
      <c r="Y30" s="5"/>
      <c r="Z30" s="5"/>
      <c r="AA30" s="5"/>
      <c r="AB30" s="5"/>
      <c r="AC30" s="5"/>
      <c r="AD30" s="5"/>
      <c r="AE30" s="5"/>
      <c r="AF30" s="5"/>
      <c r="AG30" s="5"/>
    </row>
    <row r="31" spans="2:33" ht="15.75" customHeight="1">
      <c r="B31" s="22" t="s">
        <v>14</v>
      </c>
      <c r="C31" s="22" t="s">
        <v>64</v>
      </c>
      <c r="D31" s="22" t="s">
        <v>15</v>
      </c>
      <c r="E31" s="22" t="s">
        <v>65</v>
      </c>
      <c r="F31" s="22" t="s">
        <v>16</v>
      </c>
      <c r="H31" s="4"/>
      <c r="I31" s="10"/>
      <c r="J31" s="4"/>
      <c r="K31" s="4"/>
      <c r="L31" s="27" t="s">
        <v>31</v>
      </c>
      <c r="M31" s="27">
        <f>SUM(M29:M30)</f>
        <v>66</v>
      </c>
      <c r="N31" s="27">
        <f>SUM(N29:N30)</f>
        <v>1696</v>
      </c>
      <c r="O31" s="4"/>
      <c r="P31" s="4"/>
      <c r="R31" s="4"/>
      <c r="S31" s="4"/>
      <c r="T31" s="4"/>
      <c r="U31" s="4"/>
      <c r="V31" s="4"/>
      <c r="W31" s="4"/>
      <c r="Y31" s="5"/>
      <c r="Z31" s="5"/>
      <c r="AA31" s="5"/>
      <c r="AB31" s="5"/>
      <c r="AC31" s="5"/>
      <c r="AD31" s="5"/>
      <c r="AE31" s="5"/>
      <c r="AF31" s="5"/>
      <c r="AG31" s="5"/>
    </row>
    <row r="32" spans="2:33" ht="15.75" customHeight="1">
      <c r="B32" s="1" t="s">
        <v>13</v>
      </c>
      <c r="C32" s="7">
        <v>19</v>
      </c>
      <c r="D32" s="7">
        <v>113</v>
      </c>
      <c r="E32" s="15">
        <v>13</v>
      </c>
      <c r="F32" s="16">
        <f>SUM(C32:E32)</f>
        <v>145</v>
      </c>
      <c r="H32" s="4"/>
      <c r="I32" s="10"/>
      <c r="J32" s="4"/>
      <c r="K32" s="4"/>
      <c r="L32" s="4"/>
      <c r="N32" s="4"/>
      <c r="O32" s="4"/>
      <c r="P32" s="4"/>
      <c r="R32" s="4"/>
      <c r="S32" s="4"/>
      <c r="T32" s="4"/>
      <c r="U32" s="4"/>
      <c r="V32" s="4"/>
      <c r="W32" s="4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75" customHeight="1">
      <c r="B33" s="1" t="s">
        <v>20</v>
      </c>
      <c r="C33" s="7">
        <v>13</v>
      </c>
      <c r="D33" s="7">
        <v>107</v>
      </c>
      <c r="E33" s="15">
        <v>11</v>
      </c>
      <c r="F33" s="16">
        <f>SUM(C33:E33)</f>
        <v>131</v>
      </c>
      <c r="H33" s="4"/>
      <c r="I33" s="4"/>
      <c r="J33" s="4"/>
      <c r="K33" s="4"/>
      <c r="L33" s="4"/>
      <c r="N33" s="4"/>
      <c r="O33" s="4"/>
      <c r="P33" s="4"/>
      <c r="R33" s="4"/>
      <c r="S33" s="4"/>
      <c r="T33" s="4"/>
      <c r="U33" s="4"/>
      <c r="V33" s="4"/>
      <c r="W33" s="4"/>
      <c r="AB33" s="5"/>
      <c r="AC33" s="5"/>
      <c r="AD33" s="5"/>
      <c r="AE33" s="5"/>
      <c r="AF33" s="5"/>
      <c r="AG33" s="5"/>
    </row>
    <row r="34" spans="1:33" ht="15.75" customHeight="1">
      <c r="B34" s="1" t="s">
        <v>27</v>
      </c>
      <c r="C34" s="7">
        <v>6</v>
      </c>
      <c r="D34" s="7">
        <v>94</v>
      </c>
      <c r="E34" s="15">
        <v>20</v>
      </c>
      <c r="F34" s="16">
        <f>SUM(C34:E34)</f>
        <v>120</v>
      </c>
      <c r="H34" s="4"/>
      <c r="I34" s="4"/>
      <c r="J34" s="4"/>
      <c r="K34" s="4"/>
      <c r="L34" s="4"/>
      <c r="N34" s="4"/>
      <c r="O34" s="4"/>
      <c r="P34" s="4"/>
      <c r="R34" s="4"/>
      <c r="S34" s="4"/>
      <c r="T34" s="4"/>
      <c r="U34" s="4"/>
      <c r="V34" s="4"/>
      <c r="W34" s="4"/>
      <c r="AB34" s="5"/>
      <c r="AC34" s="5"/>
      <c r="AD34" s="5"/>
      <c r="AE34" s="5"/>
      <c r="AF34" s="5"/>
      <c r="AG34" s="5"/>
    </row>
    <row r="35" spans="1:33" ht="15.75" customHeight="1">
      <c r="B35" s="1" t="s">
        <v>29</v>
      </c>
      <c r="C35" s="7">
        <v>13</v>
      </c>
      <c r="D35" s="7">
        <v>107</v>
      </c>
      <c r="E35" s="15">
        <v>7</v>
      </c>
      <c r="F35" s="16">
        <f>SUM(C35:E35)</f>
        <v>127</v>
      </c>
      <c r="H35" s="4"/>
      <c r="I35" s="4"/>
      <c r="J35" s="4"/>
      <c r="K35" s="4"/>
      <c r="L35" s="10"/>
      <c r="N35" s="4"/>
      <c r="O35" s="10"/>
      <c r="P35" s="10"/>
      <c r="R35" s="4"/>
      <c r="S35" s="4"/>
      <c r="T35" s="4"/>
      <c r="U35" s="4"/>
      <c r="V35" s="4"/>
      <c r="W35" s="4"/>
    </row>
    <row r="36" spans="1:33" ht="15.75" customHeight="1">
      <c r="B36" s="24" t="s">
        <v>25</v>
      </c>
      <c r="C36" s="23">
        <f>SUM(C32:C35)</f>
        <v>51</v>
      </c>
      <c r="D36" s="23">
        <f t="shared" ref="D36:F36" si="3">SUM(D32:D35)</f>
        <v>421</v>
      </c>
      <c r="E36" s="23">
        <f t="shared" si="3"/>
        <v>51</v>
      </c>
      <c r="F36" s="23">
        <f t="shared" si="3"/>
        <v>523</v>
      </c>
      <c r="H36" s="4"/>
      <c r="I36" s="4"/>
      <c r="J36" s="4"/>
      <c r="K36" s="10"/>
      <c r="L36" s="10"/>
      <c r="N36" s="4"/>
      <c r="O36" s="10"/>
      <c r="P36" s="10"/>
      <c r="R36" s="4"/>
      <c r="S36" s="4"/>
      <c r="T36" s="4"/>
      <c r="U36" s="4"/>
      <c r="V36" s="4"/>
      <c r="W36" s="4"/>
    </row>
    <row r="37" spans="1:33" ht="15.75" customHeight="1">
      <c r="B37" s="4"/>
      <c r="C37" s="4"/>
      <c r="D37" s="4"/>
      <c r="E37" s="10"/>
      <c r="F37" s="10"/>
      <c r="H37" s="4"/>
      <c r="I37" s="4"/>
      <c r="J37" s="4"/>
      <c r="K37" s="10"/>
      <c r="L37" s="10"/>
      <c r="N37" s="4"/>
      <c r="O37" s="10"/>
      <c r="P37" s="10"/>
      <c r="R37" s="4"/>
      <c r="S37" s="4"/>
      <c r="T37" s="4"/>
      <c r="U37" s="4"/>
      <c r="V37" s="4"/>
      <c r="W37" s="4"/>
    </row>
    <row r="38" spans="1:33" ht="15.75" customHeight="1">
      <c r="B38" s="68" t="s">
        <v>6</v>
      </c>
      <c r="C38" s="68"/>
      <c r="D38" s="69"/>
      <c r="E38" s="10"/>
      <c r="F38" s="10"/>
      <c r="H38" s="4"/>
      <c r="I38" s="4"/>
      <c r="J38" s="4"/>
      <c r="K38" s="10"/>
      <c r="L38" s="10"/>
      <c r="N38" s="4"/>
      <c r="O38" s="10"/>
      <c r="P38" s="10"/>
      <c r="R38" s="4"/>
      <c r="S38" s="4"/>
      <c r="T38" s="4"/>
      <c r="U38" s="4"/>
      <c r="V38" s="4"/>
      <c r="W38" s="4"/>
    </row>
    <row r="39" spans="1:33" ht="15.75" customHeight="1">
      <c r="B39" s="22" t="s">
        <v>14</v>
      </c>
      <c r="C39" s="22" t="s">
        <v>66</v>
      </c>
      <c r="D39" s="22" t="s">
        <v>16</v>
      </c>
      <c r="E39" s="10"/>
      <c r="F39" s="10"/>
      <c r="H39" s="4"/>
      <c r="I39" s="4"/>
      <c r="J39" s="4"/>
      <c r="K39" s="10"/>
      <c r="L39" s="10"/>
      <c r="N39" s="4"/>
      <c r="O39" s="10"/>
      <c r="P39" s="10"/>
      <c r="R39" s="4"/>
      <c r="S39" s="4"/>
      <c r="T39" s="4"/>
      <c r="U39" s="4"/>
      <c r="V39" s="4"/>
      <c r="W39" s="4"/>
    </row>
    <row r="40" spans="1:33" ht="15.75" customHeight="1">
      <c r="B40" s="1" t="s">
        <v>24</v>
      </c>
      <c r="C40" s="7">
        <v>92</v>
      </c>
      <c r="D40" s="16">
        <f>SUM(C40)</f>
        <v>92</v>
      </c>
      <c r="E40" s="10"/>
      <c r="F40" s="10"/>
      <c r="H40" s="4"/>
      <c r="I40" s="4"/>
      <c r="J40" s="4"/>
      <c r="K40" s="10"/>
      <c r="L40" s="10"/>
      <c r="N40" s="4"/>
      <c r="O40" s="10"/>
      <c r="P40" s="10"/>
      <c r="R40" s="4"/>
      <c r="S40" s="4"/>
      <c r="T40" s="4"/>
      <c r="U40" s="4"/>
      <c r="V40" s="4"/>
      <c r="W40" s="4"/>
    </row>
    <row r="41" spans="1:33" ht="15.75" customHeight="1">
      <c r="B41" s="24" t="s">
        <v>25</v>
      </c>
      <c r="C41" s="23">
        <f>SUM(C40:C40)</f>
        <v>92</v>
      </c>
      <c r="D41" s="24">
        <f t="shared" ref="D41" si="4">SUM(C41)</f>
        <v>92</v>
      </c>
      <c r="E41" s="10"/>
      <c r="F41" s="10"/>
      <c r="H41" s="4"/>
      <c r="I41" s="4"/>
      <c r="J41" s="4"/>
      <c r="K41" s="10"/>
      <c r="L41" s="17"/>
      <c r="N41" s="4"/>
      <c r="O41" s="10"/>
      <c r="P41" s="10"/>
      <c r="R41" s="4"/>
      <c r="S41" s="4"/>
      <c r="T41" s="4"/>
      <c r="U41" s="4"/>
      <c r="V41" s="4"/>
      <c r="W41" s="4"/>
    </row>
    <row r="42" spans="1:33" ht="15.75" customHeight="1">
      <c r="B42" s="4"/>
      <c r="C42" s="4"/>
      <c r="D42" s="4"/>
      <c r="E42" s="10"/>
      <c r="F42" s="10"/>
      <c r="H42" s="4"/>
      <c r="I42" s="4"/>
      <c r="J42" s="4"/>
      <c r="K42" s="10"/>
      <c r="L42" s="17"/>
      <c r="N42" s="4"/>
      <c r="O42" s="10"/>
      <c r="P42" s="10"/>
      <c r="R42" s="4"/>
      <c r="S42" s="4"/>
      <c r="T42" s="4"/>
      <c r="U42" s="4"/>
      <c r="V42" s="4"/>
      <c r="W42" s="4"/>
    </row>
    <row r="43" spans="1:33" ht="15.75" customHeight="1">
      <c r="B43" s="68" t="s">
        <v>13</v>
      </c>
      <c r="C43" s="69"/>
      <c r="D43" s="4"/>
      <c r="E43" s="68" t="s">
        <v>20</v>
      </c>
      <c r="F43" s="69"/>
      <c r="H43" s="68" t="s">
        <v>67</v>
      </c>
      <c r="I43" s="69"/>
      <c r="J43" s="4"/>
      <c r="K43" s="68" t="s">
        <v>29</v>
      </c>
      <c r="L43" s="69"/>
      <c r="N43" s="4"/>
      <c r="O43" s="10"/>
      <c r="P43" s="10"/>
      <c r="R43" s="4"/>
      <c r="S43" s="4"/>
      <c r="T43" s="4"/>
      <c r="U43" s="4"/>
      <c r="V43" s="4"/>
      <c r="W43" s="4"/>
    </row>
    <row r="44" spans="1:33" ht="32.25" customHeight="1">
      <c r="B44" s="34" t="s">
        <v>68</v>
      </c>
      <c r="C44" s="34" t="s">
        <v>127</v>
      </c>
      <c r="D44" s="10"/>
      <c r="E44" s="34" t="s">
        <v>68</v>
      </c>
      <c r="F44" s="34" t="str">
        <f>C44</f>
        <v>CORTE AL 28/02/2026</v>
      </c>
      <c r="H44" s="34" t="s">
        <v>68</v>
      </c>
      <c r="I44" s="34" t="str">
        <f>C44</f>
        <v>CORTE AL 28/02/2026</v>
      </c>
      <c r="J44" s="4"/>
      <c r="K44" s="34" t="s">
        <v>68</v>
      </c>
      <c r="L44" s="34" t="str">
        <f>C44</f>
        <v>CORTE AL 28/02/2026</v>
      </c>
      <c r="N44" s="4"/>
      <c r="O44" s="10"/>
      <c r="P44" s="10"/>
      <c r="R44" s="4"/>
      <c r="S44" s="4"/>
      <c r="T44" s="4"/>
      <c r="U44" s="4"/>
      <c r="V44" s="4"/>
      <c r="W44" s="4"/>
    </row>
    <row r="45" spans="1:33" s="48" customFormat="1" ht="15.75" customHeight="1">
      <c r="A45" s="18"/>
      <c r="B45" s="39" t="s">
        <v>70</v>
      </c>
      <c r="C45" s="36">
        <v>35</v>
      </c>
      <c r="D45" s="18"/>
      <c r="E45" s="37" t="s">
        <v>71</v>
      </c>
      <c r="F45" s="36">
        <v>20</v>
      </c>
      <c r="G45" s="18"/>
      <c r="H45" s="39" t="s">
        <v>72</v>
      </c>
      <c r="I45" s="36">
        <v>12</v>
      </c>
      <c r="J45" s="17"/>
      <c r="K45" s="37" t="s">
        <v>73</v>
      </c>
      <c r="L45" s="36">
        <v>11</v>
      </c>
      <c r="M45" s="18"/>
      <c r="N45" s="18"/>
      <c r="O45" s="17"/>
      <c r="P45" s="17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s="48" customFormat="1" ht="12.75">
      <c r="A46" s="18"/>
      <c r="B46" s="39" t="s">
        <v>74</v>
      </c>
      <c r="C46" s="36">
        <v>23</v>
      </c>
      <c r="D46" s="18"/>
      <c r="E46" s="37" t="s">
        <v>75</v>
      </c>
      <c r="F46" s="36">
        <v>20</v>
      </c>
      <c r="G46" s="18"/>
      <c r="H46" s="39" t="s">
        <v>96</v>
      </c>
      <c r="I46" s="36">
        <v>9</v>
      </c>
      <c r="J46" s="17"/>
      <c r="K46" s="37" t="s">
        <v>97</v>
      </c>
      <c r="L46" s="36">
        <v>10</v>
      </c>
      <c r="M46" s="18"/>
      <c r="N46" s="18"/>
      <c r="O46" s="17"/>
      <c r="P46" s="17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s="48" customFormat="1" ht="12.75">
      <c r="A47" s="18"/>
      <c r="B47" s="39" t="s">
        <v>82</v>
      </c>
      <c r="C47" s="36">
        <v>9</v>
      </c>
      <c r="D47" s="18"/>
      <c r="E47" s="37" t="s">
        <v>79</v>
      </c>
      <c r="F47" s="36">
        <v>14</v>
      </c>
      <c r="G47" s="18"/>
      <c r="H47" s="39" t="s">
        <v>80</v>
      </c>
      <c r="I47" s="36">
        <v>8</v>
      </c>
      <c r="J47" s="17"/>
      <c r="K47" s="37" t="s">
        <v>89</v>
      </c>
      <c r="L47" s="36">
        <v>10</v>
      </c>
      <c r="M47" s="18"/>
      <c r="N47" s="18"/>
      <c r="O47" s="17"/>
      <c r="P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s="48" customFormat="1" ht="12.75">
      <c r="A48" s="18"/>
      <c r="B48" s="39" t="s">
        <v>94</v>
      </c>
      <c r="C48" s="36">
        <v>8</v>
      </c>
      <c r="D48" s="18"/>
      <c r="E48" s="37" t="s">
        <v>87</v>
      </c>
      <c r="F48" s="36">
        <v>10</v>
      </c>
      <c r="G48" s="18"/>
      <c r="H48" s="39" t="s">
        <v>100</v>
      </c>
      <c r="I48" s="36">
        <v>8</v>
      </c>
      <c r="J48" s="17"/>
      <c r="K48" s="37" t="s">
        <v>93</v>
      </c>
      <c r="L48" s="36">
        <v>9</v>
      </c>
      <c r="M48" s="18"/>
      <c r="N48" s="18"/>
      <c r="O48" s="17"/>
      <c r="P48" s="17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s="48" customFormat="1" ht="12.75">
      <c r="A49" s="18"/>
      <c r="B49" s="39" t="s">
        <v>78</v>
      </c>
      <c r="C49" s="36">
        <v>8</v>
      </c>
      <c r="D49" s="18"/>
      <c r="E49" s="37" t="s">
        <v>83</v>
      </c>
      <c r="F49" s="36">
        <v>7</v>
      </c>
      <c r="G49" s="18"/>
      <c r="H49" s="39" t="s">
        <v>84</v>
      </c>
      <c r="I49" s="36">
        <v>8</v>
      </c>
      <c r="J49" s="17"/>
      <c r="K49" s="37" t="s">
        <v>85</v>
      </c>
      <c r="L49" s="36">
        <v>9</v>
      </c>
      <c r="M49" s="18"/>
      <c r="N49" s="18"/>
      <c r="O49" s="17"/>
      <c r="P49" s="17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s="48" customFormat="1" ht="12.75">
      <c r="A50" s="18"/>
      <c r="B50" s="39" t="s">
        <v>90</v>
      </c>
      <c r="C50" s="36">
        <v>7</v>
      </c>
      <c r="D50" s="18"/>
      <c r="E50" s="37" t="s">
        <v>99</v>
      </c>
      <c r="F50" s="36">
        <v>6</v>
      </c>
      <c r="G50" s="18"/>
      <c r="H50" s="39" t="s">
        <v>76</v>
      </c>
      <c r="I50" s="36">
        <v>7</v>
      </c>
      <c r="J50" s="17"/>
      <c r="K50" s="37" t="s">
        <v>81</v>
      </c>
      <c r="L50" s="36">
        <v>8</v>
      </c>
      <c r="M50" s="18"/>
      <c r="N50" s="18"/>
      <c r="O50" s="17"/>
      <c r="P50" s="17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s="48" customFormat="1" ht="12.75">
      <c r="A51" s="18"/>
      <c r="B51" s="39" t="s">
        <v>128</v>
      </c>
      <c r="C51" s="36">
        <v>6</v>
      </c>
      <c r="D51" s="18"/>
      <c r="E51" s="37" t="s">
        <v>91</v>
      </c>
      <c r="F51" s="36">
        <v>6</v>
      </c>
      <c r="G51" s="18"/>
      <c r="H51" s="39" t="s">
        <v>108</v>
      </c>
      <c r="I51" s="36">
        <v>7</v>
      </c>
      <c r="J51" s="17"/>
      <c r="K51" s="37" t="s">
        <v>101</v>
      </c>
      <c r="L51" s="36">
        <v>8</v>
      </c>
      <c r="M51" s="18"/>
      <c r="N51" s="18"/>
      <c r="O51" s="17"/>
      <c r="P51" s="17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s="48" customFormat="1" ht="12.75">
      <c r="A52" s="18"/>
      <c r="B52" s="39" t="s">
        <v>86</v>
      </c>
      <c r="C52" s="36">
        <v>5</v>
      </c>
      <c r="D52" s="18"/>
      <c r="E52" s="37" t="s">
        <v>95</v>
      </c>
      <c r="F52" s="36">
        <v>6</v>
      </c>
      <c r="G52" s="18"/>
      <c r="H52" s="39" t="s">
        <v>104</v>
      </c>
      <c r="I52" s="36">
        <v>7</v>
      </c>
      <c r="J52" s="18"/>
      <c r="K52" s="37" t="s">
        <v>77</v>
      </c>
      <c r="L52" s="36">
        <v>8</v>
      </c>
      <c r="M52" s="18"/>
      <c r="N52" s="18"/>
      <c r="O52" s="17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s="48" customFormat="1" ht="12.75">
      <c r="A53" s="18"/>
      <c r="B53" s="39" t="s">
        <v>129</v>
      </c>
      <c r="C53" s="36">
        <v>5</v>
      </c>
      <c r="D53" s="18"/>
      <c r="E53" s="37" t="s">
        <v>110</v>
      </c>
      <c r="F53" s="36">
        <v>5</v>
      </c>
      <c r="G53" s="18"/>
      <c r="H53" s="39" t="s">
        <v>92</v>
      </c>
      <c r="I53" s="36">
        <v>7</v>
      </c>
      <c r="J53" s="18"/>
      <c r="K53" s="37" t="s">
        <v>105</v>
      </c>
      <c r="L53" s="36">
        <v>2</v>
      </c>
      <c r="M53" s="18"/>
      <c r="N53" s="18"/>
      <c r="O53" s="17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s="48" customFormat="1" ht="12.75">
      <c r="A54" s="18"/>
      <c r="B54" s="39" t="s">
        <v>98</v>
      </c>
      <c r="C54" s="36">
        <v>3</v>
      </c>
      <c r="D54" s="18"/>
      <c r="E54" s="37" t="s">
        <v>103</v>
      </c>
      <c r="F54" s="36">
        <v>4</v>
      </c>
      <c r="G54" s="18"/>
      <c r="H54" s="39" t="s">
        <v>88</v>
      </c>
      <c r="I54" s="36">
        <v>6</v>
      </c>
      <c r="J54" s="18"/>
      <c r="K54" s="37" t="s">
        <v>109</v>
      </c>
      <c r="L54" s="36">
        <v>1</v>
      </c>
      <c r="M54" s="18"/>
      <c r="N54" s="18"/>
      <c r="O54" s="17"/>
      <c r="P54" s="17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s="48" customFormat="1" ht="12.75">
      <c r="A55" s="18"/>
      <c r="B55" s="39" t="s">
        <v>106</v>
      </c>
      <c r="C55" s="36">
        <v>3</v>
      </c>
      <c r="D55" s="18"/>
      <c r="E55" s="37" t="s">
        <v>124</v>
      </c>
      <c r="F55" s="36">
        <v>3</v>
      </c>
      <c r="G55" s="18"/>
      <c r="H55" s="39" t="s">
        <v>111</v>
      </c>
      <c r="I55" s="36">
        <v>5</v>
      </c>
      <c r="J55" s="18"/>
      <c r="K55" s="37" t="s">
        <v>118</v>
      </c>
      <c r="L55" s="36">
        <v>1</v>
      </c>
      <c r="M55" s="18"/>
      <c r="N55" s="18"/>
      <c r="O55" s="17"/>
      <c r="P55" s="17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s="48" customFormat="1" ht="12.75">
      <c r="A56" s="18"/>
      <c r="B56" s="39" t="s">
        <v>102</v>
      </c>
      <c r="C56" s="36">
        <v>1</v>
      </c>
      <c r="D56" s="18"/>
      <c r="E56" s="37" t="s">
        <v>107</v>
      </c>
      <c r="F56" s="36">
        <v>2</v>
      </c>
      <c r="G56" s="18"/>
      <c r="H56" s="39" t="s">
        <v>130</v>
      </c>
      <c r="I56" s="36">
        <v>3</v>
      </c>
      <c r="J56" s="18"/>
      <c r="K56" s="37" t="s">
        <v>112</v>
      </c>
      <c r="L56" s="36">
        <v>1</v>
      </c>
      <c r="M56" s="18"/>
      <c r="N56" s="18"/>
      <c r="O56" s="17"/>
      <c r="P56" s="17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s="48" customFormat="1" ht="12.75">
      <c r="A57" s="18"/>
      <c r="B57" s="18"/>
      <c r="C57" s="18"/>
      <c r="D57" s="18"/>
      <c r="E57" s="37" t="s">
        <v>116</v>
      </c>
      <c r="F57" s="36">
        <v>1</v>
      </c>
      <c r="G57" s="18"/>
      <c r="H57" s="39" t="s">
        <v>114</v>
      </c>
      <c r="I57" s="36">
        <v>3</v>
      </c>
      <c r="J57" s="18"/>
      <c r="K57" s="37" t="s">
        <v>115</v>
      </c>
      <c r="L57" s="36">
        <v>1</v>
      </c>
      <c r="M57" s="18"/>
      <c r="N57" s="18"/>
      <c r="O57" s="17"/>
      <c r="P57" s="17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s="48" customFormat="1" ht="12.75">
      <c r="A58" s="18"/>
      <c r="B58" s="18"/>
      <c r="C58" s="18"/>
      <c r="D58" s="18"/>
      <c r="E58" s="37" t="s">
        <v>113</v>
      </c>
      <c r="F58" s="36">
        <v>1</v>
      </c>
      <c r="G58" s="18"/>
      <c r="H58" s="39" t="s">
        <v>117</v>
      </c>
      <c r="I58" s="36">
        <v>2</v>
      </c>
      <c r="J58" s="18"/>
      <c r="K58" s="37" t="s">
        <v>121</v>
      </c>
      <c r="L58" s="36">
        <v>1</v>
      </c>
      <c r="M58" s="18"/>
      <c r="N58" s="18"/>
      <c r="O58" s="17"/>
      <c r="P58" s="17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s="48" customFormat="1" ht="12.75">
      <c r="A59" s="18"/>
      <c r="B59" s="18"/>
      <c r="C59" s="18"/>
      <c r="D59" s="18"/>
      <c r="E59" s="37" t="s">
        <v>119</v>
      </c>
      <c r="F59" s="36">
        <v>1</v>
      </c>
      <c r="G59" s="18"/>
      <c r="H59" s="39" t="s">
        <v>131</v>
      </c>
      <c r="I59" s="36">
        <v>1</v>
      </c>
      <c r="J59" s="18"/>
      <c r="K59" s="17"/>
      <c r="L59" s="17"/>
      <c r="M59" s="18"/>
      <c r="N59" s="18"/>
      <c r="O59" s="17"/>
      <c r="P59" s="17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s="18" customFormat="1" ht="12.75">
      <c r="E60" s="37" t="s">
        <v>123</v>
      </c>
      <c r="F60" s="36">
        <v>1</v>
      </c>
      <c r="H60" s="39" t="s">
        <v>120</v>
      </c>
      <c r="I60" s="36">
        <v>1</v>
      </c>
      <c r="K60" s="17"/>
      <c r="L60" s="17"/>
      <c r="O60" s="17"/>
      <c r="P60" s="17"/>
    </row>
    <row r="61" spans="1:33" s="18" customFormat="1">
      <c r="B61" s="4"/>
      <c r="C61" s="4"/>
      <c r="E61" s="37" t="s">
        <v>122</v>
      </c>
      <c r="F61" s="36">
        <v>0</v>
      </c>
      <c r="K61" s="17"/>
      <c r="L61" s="17"/>
      <c r="O61" s="17"/>
      <c r="P61" s="17"/>
    </row>
    <row r="62" spans="1:33" s="18" customFormat="1">
      <c r="B62" s="4"/>
      <c r="C62" s="4"/>
      <c r="E62" s="10"/>
      <c r="F62" s="10"/>
      <c r="H62" s="4"/>
      <c r="I62" s="4"/>
      <c r="K62" s="17"/>
      <c r="L62" s="17"/>
      <c r="O62" s="17"/>
      <c r="P62" s="17"/>
    </row>
    <row r="63" spans="1:33" s="4" customFormat="1">
      <c r="E63" s="10"/>
      <c r="F63" s="10"/>
      <c r="G63" s="18"/>
      <c r="J63" s="18"/>
      <c r="K63" s="17"/>
      <c r="L63" s="10"/>
      <c r="O63" s="10"/>
      <c r="P63" s="10"/>
    </row>
    <row r="64" spans="1:33" s="4" customFormat="1">
      <c r="E64" s="10"/>
      <c r="F64" s="10"/>
      <c r="G64" s="18"/>
      <c r="J64" s="18"/>
      <c r="K64" s="17"/>
      <c r="L64" s="10"/>
      <c r="O64" s="10"/>
      <c r="P64" s="10"/>
    </row>
    <row r="65" spans="5:16" s="4" customFormat="1">
      <c r="E65" s="10"/>
      <c r="F65" s="10"/>
      <c r="K65" s="10"/>
      <c r="L65" s="10"/>
      <c r="O65" s="10"/>
      <c r="P65" s="10"/>
    </row>
    <row r="66" spans="5:16" s="4" customFormat="1">
      <c r="E66" s="10"/>
      <c r="F66" s="10"/>
      <c r="K66" s="10"/>
      <c r="L66" s="10"/>
      <c r="O66" s="10"/>
      <c r="P66" s="10"/>
    </row>
    <row r="67" spans="5:16" s="4" customFormat="1">
      <c r="E67" s="10"/>
      <c r="F67" s="10"/>
      <c r="K67" s="10"/>
      <c r="L67" s="10"/>
      <c r="O67" s="10"/>
      <c r="P67" s="10"/>
    </row>
    <row r="68" spans="5:16" s="4" customFormat="1">
      <c r="E68" s="10"/>
      <c r="F68" s="10"/>
      <c r="K68" s="10"/>
      <c r="L68" s="10"/>
      <c r="O68" s="10"/>
      <c r="P68" s="10"/>
    </row>
    <row r="69" spans="5:16" s="4" customFormat="1" ht="15" customHeight="1">
      <c r="E69" s="10"/>
      <c r="F69" s="10"/>
      <c r="K69" s="10"/>
      <c r="L69" s="10"/>
      <c r="O69" s="10"/>
      <c r="P69" s="10"/>
    </row>
    <row r="70" spans="5:16" s="4" customFormat="1" ht="15" customHeight="1">
      <c r="E70" s="10"/>
      <c r="F70" s="10"/>
      <c r="K70" s="10"/>
      <c r="L70" s="10"/>
      <c r="O70" s="10"/>
      <c r="P70" s="10"/>
    </row>
    <row r="71" spans="5:16" s="4" customFormat="1" ht="15" customHeight="1">
      <c r="E71" s="10"/>
      <c r="F71" s="10"/>
      <c r="K71" s="10"/>
      <c r="L71" s="10"/>
      <c r="O71" s="10"/>
      <c r="P71" s="10"/>
    </row>
    <row r="72" spans="5:16" s="4" customFormat="1" ht="15" customHeight="1">
      <c r="E72" s="10"/>
      <c r="F72" s="10"/>
      <c r="K72" s="10"/>
      <c r="L72" s="10"/>
      <c r="O72" s="10"/>
      <c r="P72" s="10"/>
    </row>
    <row r="73" spans="5:16" s="4" customFormat="1" ht="15" customHeight="1">
      <c r="E73" s="10"/>
      <c r="F73" s="10"/>
      <c r="K73" s="10"/>
      <c r="L73" s="10"/>
      <c r="O73" s="10"/>
      <c r="P73" s="10"/>
    </row>
    <row r="74" spans="5:16" s="4" customFormat="1" ht="15" customHeight="1">
      <c r="E74" s="10"/>
      <c r="F74" s="10"/>
      <c r="K74" s="10"/>
      <c r="L74" s="10"/>
      <c r="O74" s="10"/>
      <c r="P74" s="10"/>
    </row>
    <row r="75" spans="5:16" s="4" customFormat="1" ht="15" customHeight="1">
      <c r="E75" s="10"/>
      <c r="F75" s="10"/>
      <c r="K75" s="10"/>
      <c r="L75" s="10"/>
      <c r="O75" s="10"/>
      <c r="P75" s="10"/>
    </row>
    <row r="76" spans="5:16" s="4" customFormat="1" ht="15" customHeight="1">
      <c r="E76" s="10"/>
      <c r="F76" s="10"/>
      <c r="K76" s="10"/>
      <c r="L76" s="10"/>
      <c r="O76" s="10"/>
      <c r="P76" s="10"/>
    </row>
    <row r="77" spans="5:16" s="4" customFormat="1" ht="15" customHeight="1">
      <c r="E77" s="10"/>
      <c r="F77" s="10"/>
      <c r="K77" s="10"/>
      <c r="L77" s="10"/>
      <c r="O77" s="10"/>
      <c r="P77" s="10"/>
    </row>
    <row r="78" spans="5:16" s="4" customFormat="1" ht="15" customHeight="1">
      <c r="E78" s="10"/>
      <c r="F78" s="10"/>
      <c r="K78" s="10"/>
      <c r="L78" s="10"/>
      <c r="O78" s="10"/>
      <c r="P78" s="10"/>
    </row>
    <row r="79" spans="5:16" s="4" customFormat="1" ht="15" customHeight="1">
      <c r="E79" s="10"/>
      <c r="F79" s="10"/>
      <c r="K79" s="10"/>
      <c r="L79" s="10"/>
      <c r="O79" s="10"/>
      <c r="P79" s="10"/>
    </row>
    <row r="80" spans="5:16" s="4" customFormat="1" ht="15" customHeight="1">
      <c r="E80" s="10"/>
      <c r="F80" s="10"/>
      <c r="K80" s="10"/>
      <c r="L80" s="10"/>
      <c r="O80" s="10"/>
      <c r="P80" s="10"/>
    </row>
    <row r="81" spans="5:16" s="4" customFormat="1" ht="15" customHeight="1">
      <c r="E81" s="10"/>
      <c r="F81" s="10"/>
      <c r="K81" s="10"/>
      <c r="L81" s="10"/>
      <c r="O81" s="10"/>
      <c r="P81" s="10"/>
    </row>
    <row r="82" spans="5:16" s="4" customFormat="1" ht="15" customHeight="1">
      <c r="E82" s="10"/>
      <c r="F82" s="10"/>
      <c r="K82" s="10"/>
      <c r="L82" s="10"/>
      <c r="O82" s="10"/>
      <c r="P82" s="10"/>
    </row>
    <row r="83" spans="5:16" s="4" customFormat="1" ht="15" customHeight="1">
      <c r="E83" s="10"/>
      <c r="F83" s="10"/>
      <c r="K83" s="10"/>
      <c r="L83" s="10"/>
      <c r="O83" s="10"/>
      <c r="P83" s="10"/>
    </row>
    <row r="84" spans="5:16" s="4" customFormat="1" ht="15" customHeight="1">
      <c r="E84" s="10"/>
      <c r="F84" s="10"/>
      <c r="K84" s="10"/>
      <c r="L84" s="10"/>
      <c r="O84" s="10"/>
      <c r="P84" s="10"/>
    </row>
    <row r="85" spans="5:16" s="4" customFormat="1" ht="15" customHeight="1">
      <c r="E85" s="10"/>
      <c r="F85" s="10"/>
      <c r="K85" s="10"/>
      <c r="L85" s="10"/>
      <c r="O85" s="10"/>
      <c r="P85" s="10"/>
    </row>
    <row r="86" spans="5:16" s="4" customFormat="1" ht="15" customHeight="1">
      <c r="E86" s="10"/>
      <c r="F86" s="10"/>
      <c r="K86" s="10"/>
      <c r="L86" s="10"/>
      <c r="O86" s="10"/>
      <c r="P86" s="10"/>
    </row>
    <row r="87" spans="5:16" s="4" customFormat="1" ht="15" customHeight="1">
      <c r="E87" s="10"/>
      <c r="F87" s="10"/>
      <c r="K87" s="10"/>
      <c r="L87" s="10"/>
      <c r="O87" s="10"/>
      <c r="P87" s="10"/>
    </row>
    <row r="88" spans="5:16" s="4" customFormat="1" ht="15" customHeight="1">
      <c r="E88" s="10"/>
      <c r="F88" s="10"/>
      <c r="K88" s="10"/>
      <c r="L88" s="10"/>
      <c r="O88" s="10"/>
      <c r="P88" s="10"/>
    </row>
    <row r="89" spans="5:16" s="4" customFormat="1" ht="15" customHeight="1">
      <c r="E89" s="10"/>
      <c r="F89" s="10"/>
      <c r="K89" s="10"/>
      <c r="L89" s="10"/>
      <c r="O89" s="10"/>
      <c r="P89" s="10"/>
    </row>
    <row r="90" spans="5:16" s="4" customFormat="1" ht="15" customHeight="1">
      <c r="E90" s="10"/>
      <c r="F90" s="10"/>
      <c r="K90" s="10"/>
      <c r="L90" s="10"/>
      <c r="O90" s="10"/>
      <c r="P90" s="10"/>
    </row>
    <row r="91" spans="5:16" s="4" customFormat="1" ht="15" customHeight="1">
      <c r="E91" s="10"/>
      <c r="F91" s="10"/>
      <c r="K91" s="10"/>
      <c r="L91" s="10"/>
      <c r="O91" s="10"/>
      <c r="P91" s="10"/>
    </row>
    <row r="92" spans="5:16" s="4" customFormat="1" ht="15" customHeight="1">
      <c r="E92" s="10"/>
      <c r="F92" s="10"/>
      <c r="K92" s="10"/>
      <c r="L92" s="10"/>
      <c r="O92" s="10"/>
      <c r="P92" s="10"/>
    </row>
    <row r="93" spans="5:16" s="4" customFormat="1" ht="15" customHeight="1">
      <c r="E93" s="10"/>
      <c r="F93" s="10"/>
      <c r="K93" s="10"/>
      <c r="L93" s="10"/>
      <c r="O93" s="10"/>
      <c r="P93" s="10"/>
    </row>
    <row r="94" spans="5:16" s="4" customFormat="1" ht="15" customHeight="1">
      <c r="E94" s="10"/>
      <c r="F94" s="10"/>
      <c r="K94" s="10"/>
      <c r="L94" s="10"/>
      <c r="O94" s="10"/>
      <c r="P94" s="10"/>
    </row>
    <row r="95" spans="5:16" s="4" customFormat="1" ht="15" customHeight="1">
      <c r="E95" s="10"/>
      <c r="F95" s="10"/>
      <c r="K95" s="10"/>
      <c r="L95" s="10"/>
      <c r="O95" s="10"/>
      <c r="P95" s="10"/>
    </row>
    <row r="96" spans="5:16" s="4" customFormat="1" ht="15" customHeight="1">
      <c r="E96" s="10"/>
      <c r="F96" s="10"/>
      <c r="K96" s="10"/>
      <c r="L96" s="10"/>
      <c r="O96" s="10"/>
      <c r="P96" s="10"/>
    </row>
    <row r="97" spans="2:16" s="4" customFormat="1" ht="15" customHeight="1">
      <c r="E97" s="10"/>
      <c r="F97" s="10"/>
      <c r="K97" s="10"/>
      <c r="L97" s="10"/>
      <c r="O97" s="10"/>
      <c r="P97" s="10"/>
    </row>
    <row r="98" spans="2:16" s="4" customFormat="1" ht="15" customHeight="1">
      <c r="E98" s="10"/>
      <c r="F98" s="10"/>
      <c r="K98" s="10"/>
      <c r="L98" s="10"/>
      <c r="O98" s="10"/>
      <c r="P98" s="10"/>
    </row>
    <row r="99" spans="2:16" s="4" customFormat="1" ht="15" customHeight="1">
      <c r="E99" s="10"/>
      <c r="F99" s="10"/>
      <c r="K99" s="10"/>
      <c r="L99" s="10"/>
      <c r="O99" s="10"/>
      <c r="P99" s="10"/>
    </row>
    <row r="100" spans="2:16" s="4" customFormat="1" ht="15" customHeight="1">
      <c r="E100" s="10"/>
      <c r="F100" s="10"/>
      <c r="K100" s="10"/>
      <c r="L100" s="10"/>
      <c r="O100" s="10"/>
      <c r="P100" s="10"/>
    </row>
    <row r="101" spans="2:16" s="4" customFormat="1" ht="15" customHeight="1">
      <c r="E101" s="10"/>
      <c r="F101" s="10"/>
      <c r="K101" s="10"/>
      <c r="L101" s="10"/>
      <c r="O101" s="10"/>
      <c r="P101" s="10"/>
    </row>
    <row r="102" spans="2:16" s="4" customFormat="1" ht="15" customHeight="1">
      <c r="E102" s="10"/>
      <c r="F102" s="10"/>
      <c r="K102" s="10"/>
      <c r="L102" s="10"/>
      <c r="O102" s="10"/>
      <c r="P102" s="10"/>
    </row>
    <row r="103" spans="2:16" s="4" customFormat="1" ht="15" customHeight="1">
      <c r="E103" s="10"/>
      <c r="F103" s="10"/>
      <c r="K103" s="10"/>
      <c r="L103" s="10"/>
      <c r="O103" s="10"/>
      <c r="P103" s="10"/>
    </row>
    <row r="104" spans="2:16" s="4" customFormat="1" ht="15" customHeight="1">
      <c r="E104" s="10"/>
      <c r="F104" s="10"/>
      <c r="K104" s="10"/>
      <c r="L104" s="10"/>
      <c r="O104" s="10"/>
      <c r="P104" s="10"/>
    </row>
    <row r="105" spans="2:16" s="4" customFormat="1" ht="15" customHeight="1">
      <c r="E105" s="10"/>
      <c r="F105" s="10"/>
      <c r="K105" s="10"/>
      <c r="L105" s="10"/>
      <c r="O105" s="10"/>
      <c r="P105" s="10"/>
    </row>
    <row r="106" spans="2:16" s="4" customFormat="1" ht="15" customHeight="1">
      <c r="E106" s="10"/>
      <c r="F106" s="10"/>
      <c r="K106" s="10"/>
      <c r="L106" s="10"/>
      <c r="O106" s="10"/>
      <c r="P106" s="10"/>
    </row>
    <row r="107" spans="2:16" s="4" customFormat="1" ht="15" customHeight="1">
      <c r="E107" s="10"/>
      <c r="F107" s="10"/>
      <c r="K107" s="10"/>
      <c r="L107" s="10"/>
      <c r="O107" s="10"/>
      <c r="P107" s="10"/>
    </row>
    <row r="108" spans="2:16" s="4" customFormat="1" ht="15" customHeight="1">
      <c r="E108" s="10"/>
      <c r="F108" s="10"/>
      <c r="K108" s="10"/>
      <c r="L108" s="10"/>
      <c r="O108" s="10"/>
      <c r="P108" s="10"/>
    </row>
    <row r="109" spans="2:16" s="4" customFormat="1" ht="15" customHeight="1">
      <c r="E109" s="10"/>
      <c r="F109" s="10"/>
      <c r="K109" s="10"/>
      <c r="L109" s="10"/>
      <c r="O109" s="10"/>
      <c r="P109" s="10"/>
    </row>
    <row r="110" spans="2:16" s="4" customFormat="1" ht="15" customHeight="1">
      <c r="B110" s="5"/>
      <c r="C110" s="5"/>
      <c r="E110" s="10"/>
      <c r="F110" s="10"/>
      <c r="K110" s="10"/>
      <c r="L110" s="10"/>
      <c r="O110" s="10"/>
      <c r="P110" s="10"/>
    </row>
    <row r="111" spans="2:16" s="4" customFormat="1" ht="15" customHeight="1">
      <c r="B111" s="5"/>
      <c r="C111" s="5"/>
      <c r="E111" s="10"/>
      <c r="F111" s="10"/>
      <c r="K111" s="10"/>
      <c r="L111" s="10"/>
      <c r="O111" s="10"/>
      <c r="P111" s="10"/>
    </row>
    <row r="112" spans="2:16" s="4" customFormat="1" ht="15" customHeight="1">
      <c r="B112" s="5"/>
      <c r="C112" s="5"/>
      <c r="E112" s="10"/>
      <c r="F112" s="10"/>
      <c r="K112" s="10"/>
      <c r="L112" s="10"/>
      <c r="O112" s="10"/>
      <c r="P112" s="10"/>
    </row>
    <row r="113" spans="2:16" s="4" customFormat="1" ht="15" customHeight="1">
      <c r="B113" s="5"/>
      <c r="C113" s="5"/>
      <c r="E113" s="19"/>
      <c r="F113" s="19"/>
      <c r="K113" s="10"/>
      <c r="L113" s="10"/>
      <c r="O113" s="10"/>
      <c r="P113" s="10"/>
    </row>
    <row r="114" spans="2:16" s="4" customFormat="1" ht="15" customHeight="1">
      <c r="B114" s="5"/>
      <c r="C114" s="5"/>
      <c r="E114" s="19"/>
      <c r="F114" s="19"/>
      <c r="H114" s="5"/>
      <c r="I114" s="5"/>
      <c r="K114" s="10"/>
      <c r="L114" s="10"/>
      <c r="O114" s="10"/>
      <c r="P114" s="10"/>
    </row>
    <row r="115" spans="2:16" s="4" customFormat="1" ht="15" customHeight="1">
      <c r="B115" s="5"/>
      <c r="C115" s="5"/>
      <c r="E115" s="19"/>
      <c r="F115" s="19"/>
      <c r="H115" s="5"/>
      <c r="I115" s="5"/>
      <c r="K115" s="10"/>
      <c r="L115" s="10"/>
      <c r="O115" s="10"/>
      <c r="P115" s="10"/>
    </row>
    <row r="116" spans="2:16" s="4" customFormat="1" ht="15" customHeight="1">
      <c r="B116" s="5"/>
      <c r="C116" s="5"/>
      <c r="E116" s="19"/>
      <c r="F116" s="19"/>
      <c r="H116" s="5"/>
      <c r="I116" s="5"/>
      <c r="K116" s="10"/>
      <c r="L116" s="10"/>
      <c r="O116" s="10"/>
      <c r="P116" s="10"/>
    </row>
    <row r="117" spans="2:16" s="4" customFormat="1" ht="15" customHeight="1">
      <c r="B117" s="5"/>
      <c r="C117" s="5"/>
      <c r="E117" s="19"/>
      <c r="F117" s="19"/>
      <c r="H117" s="5"/>
      <c r="I117" s="5"/>
      <c r="K117" s="10"/>
      <c r="L117" s="10"/>
      <c r="O117" s="10"/>
      <c r="P117" s="10"/>
    </row>
    <row r="118" spans="2:16" s="4" customFormat="1" ht="15" customHeight="1">
      <c r="B118" s="5"/>
      <c r="C118" s="5"/>
      <c r="E118" s="19"/>
      <c r="F118" s="19"/>
      <c r="H118" s="5"/>
      <c r="I118" s="5"/>
      <c r="K118" s="10"/>
      <c r="L118" s="10"/>
      <c r="O118" s="10"/>
      <c r="P118" s="10"/>
    </row>
    <row r="119" spans="2:16" s="4" customFormat="1" ht="15" customHeight="1">
      <c r="B119" s="5"/>
      <c r="C119" s="5"/>
      <c r="E119" s="19"/>
      <c r="F119" s="19"/>
      <c r="H119" s="5"/>
      <c r="I119" s="5"/>
      <c r="K119" s="10"/>
      <c r="L119" s="10"/>
      <c r="O119" s="10"/>
      <c r="P119" s="10"/>
    </row>
    <row r="120" spans="2:16" s="4" customFormat="1" ht="15" customHeight="1">
      <c r="B120" s="5"/>
      <c r="C120" s="5"/>
      <c r="E120" s="19"/>
      <c r="F120" s="19"/>
      <c r="H120" s="5"/>
      <c r="I120" s="5"/>
      <c r="K120" s="10"/>
      <c r="L120" s="10"/>
      <c r="O120" s="10"/>
      <c r="P120" s="10"/>
    </row>
    <row r="121" spans="2:16" s="4" customFormat="1" ht="15" customHeight="1">
      <c r="B121" s="5"/>
      <c r="C121" s="5"/>
      <c r="E121" s="19"/>
      <c r="F121" s="19"/>
      <c r="H121" s="5"/>
      <c r="I121" s="5"/>
      <c r="K121" s="10"/>
      <c r="L121" s="10"/>
      <c r="O121" s="10"/>
      <c r="P121" s="10"/>
    </row>
    <row r="122" spans="2:16" s="4" customFormat="1" ht="15" customHeight="1">
      <c r="B122" s="5"/>
      <c r="C122" s="5"/>
      <c r="E122" s="19"/>
      <c r="F122" s="19"/>
      <c r="H122" s="5"/>
      <c r="I122" s="5"/>
      <c r="K122" s="10"/>
      <c r="L122" s="10"/>
      <c r="O122" s="10"/>
      <c r="P122" s="10"/>
    </row>
    <row r="123" spans="2:16" s="4" customFormat="1" ht="15" customHeight="1">
      <c r="B123" s="5"/>
      <c r="C123" s="5"/>
      <c r="E123" s="19"/>
      <c r="F123" s="19"/>
      <c r="H123" s="5"/>
      <c r="I123" s="5"/>
      <c r="K123" s="10"/>
      <c r="L123" s="10"/>
      <c r="O123" s="10"/>
      <c r="P123" s="10"/>
    </row>
    <row r="124" spans="2:16" s="4" customFormat="1" ht="15" customHeight="1">
      <c r="B124" s="5"/>
      <c r="C124" s="5"/>
      <c r="E124" s="19"/>
      <c r="F124" s="19"/>
      <c r="H124" s="5"/>
      <c r="I124" s="5"/>
      <c r="K124" s="10"/>
      <c r="L124" s="10"/>
      <c r="O124" s="10"/>
      <c r="P124" s="10"/>
    </row>
    <row r="125" spans="2:16" s="4" customFormat="1" ht="15" customHeight="1">
      <c r="B125" s="5"/>
      <c r="C125" s="5"/>
      <c r="E125" s="19"/>
      <c r="F125" s="19"/>
      <c r="H125" s="5"/>
      <c r="I125" s="5"/>
      <c r="K125" s="10"/>
      <c r="L125" s="10"/>
      <c r="O125" s="10"/>
      <c r="P125" s="10"/>
    </row>
    <row r="126" spans="2:16" s="4" customFormat="1" ht="15" customHeight="1">
      <c r="B126" s="5"/>
      <c r="C126" s="5"/>
      <c r="E126" s="19"/>
      <c r="F126" s="19"/>
      <c r="H126" s="5"/>
      <c r="I126" s="5"/>
      <c r="K126" s="10"/>
      <c r="L126" s="10"/>
      <c r="O126" s="10"/>
      <c r="P126" s="10"/>
    </row>
    <row r="127" spans="2:16" s="4" customFormat="1" ht="15" customHeight="1">
      <c r="B127" s="5"/>
      <c r="C127" s="5"/>
      <c r="E127" s="19"/>
      <c r="F127" s="19"/>
      <c r="H127" s="5"/>
      <c r="I127" s="5"/>
      <c r="K127" s="10"/>
      <c r="L127" s="10"/>
      <c r="O127" s="10"/>
      <c r="P127" s="10"/>
    </row>
    <row r="128" spans="2:16" s="4" customFormat="1" ht="15" customHeight="1">
      <c r="B128" s="5"/>
      <c r="C128" s="5"/>
      <c r="E128" s="19"/>
      <c r="F128" s="19"/>
      <c r="H128" s="5"/>
      <c r="I128" s="5"/>
      <c r="K128" s="10"/>
      <c r="L128" s="10"/>
      <c r="O128" s="10"/>
      <c r="P128" s="10"/>
    </row>
    <row r="129" spans="2:18" s="4" customFormat="1" ht="15" customHeight="1">
      <c r="B129" s="5"/>
      <c r="C129" s="5"/>
      <c r="E129" s="19"/>
      <c r="F129" s="19"/>
      <c r="H129" s="5"/>
      <c r="I129" s="5"/>
      <c r="K129" s="10"/>
      <c r="L129" s="10"/>
      <c r="O129" s="10"/>
      <c r="P129" s="10"/>
    </row>
    <row r="130" spans="2:18" s="4" customFormat="1" ht="15" customHeight="1">
      <c r="B130" s="5"/>
      <c r="C130" s="5"/>
      <c r="E130" s="19"/>
      <c r="F130" s="19"/>
      <c r="H130" s="5"/>
      <c r="I130" s="5"/>
      <c r="K130" s="10"/>
      <c r="L130" s="10"/>
      <c r="O130" s="10"/>
      <c r="P130" s="10"/>
    </row>
    <row r="131" spans="2:18" s="4" customFormat="1" ht="15" customHeight="1">
      <c r="B131" s="5"/>
      <c r="C131" s="5"/>
      <c r="E131" s="19"/>
      <c r="F131" s="19"/>
      <c r="H131" s="5"/>
      <c r="I131" s="5"/>
      <c r="K131" s="10"/>
      <c r="L131" s="19"/>
      <c r="O131" s="10"/>
      <c r="P131" s="10"/>
    </row>
    <row r="132" spans="2:18" s="4" customFormat="1" ht="15" customHeight="1">
      <c r="B132" s="5"/>
      <c r="C132" s="5"/>
      <c r="D132" s="5"/>
      <c r="E132" s="19"/>
      <c r="F132" s="19"/>
      <c r="H132" s="5"/>
      <c r="I132" s="5"/>
      <c r="K132" s="10"/>
      <c r="L132" s="19"/>
      <c r="N132" s="5"/>
      <c r="O132" s="19"/>
      <c r="P132" s="19"/>
      <c r="R132" s="5"/>
    </row>
    <row r="133" spans="2:18" s="4" customFormat="1" ht="15" customHeight="1">
      <c r="B133" s="5"/>
      <c r="C133" s="5"/>
      <c r="D133" s="5"/>
      <c r="E133" s="19"/>
      <c r="F133" s="19"/>
      <c r="H133" s="5"/>
      <c r="I133" s="5"/>
      <c r="J133" s="5"/>
      <c r="K133" s="19"/>
      <c r="L133" s="19"/>
      <c r="N133" s="5"/>
      <c r="O133" s="19"/>
      <c r="P133" s="19"/>
      <c r="R133" s="5"/>
    </row>
  </sheetData>
  <mergeCells count="20">
    <mergeCell ref="K43:L43"/>
    <mergeCell ref="H43:I43"/>
    <mergeCell ref="L10:O10"/>
    <mergeCell ref="L2:N2"/>
    <mergeCell ref="L18:N18"/>
    <mergeCell ref="L27:N27"/>
    <mergeCell ref="B1:F1"/>
    <mergeCell ref="H1:J1"/>
    <mergeCell ref="L1:O1"/>
    <mergeCell ref="B2:C8"/>
    <mergeCell ref="H2:J2"/>
    <mergeCell ref="B18:C23"/>
    <mergeCell ref="B9:C17"/>
    <mergeCell ref="E43:F43"/>
    <mergeCell ref="B43:C43"/>
    <mergeCell ref="B38:D38"/>
    <mergeCell ref="B30:F30"/>
    <mergeCell ref="B28:C28"/>
    <mergeCell ref="D27:D28"/>
    <mergeCell ref="B24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6D3B-AE8C-4DE2-9820-3A4B6498F35C}">
  <dimension ref="A1:AH131"/>
  <sheetViews>
    <sheetView zoomScale="70" zoomScaleNormal="70" workbookViewId="0">
      <selection activeCell="S30" sqref="S30"/>
    </sheetView>
  </sheetViews>
  <sheetFormatPr defaultColWidth="9.140625" defaultRowHeight="15" customHeight="1"/>
  <cols>
    <col min="1" max="1" width="9.140625" style="4"/>
    <col min="2" max="2" width="21" style="5" customWidth="1"/>
    <col min="3" max="3" width="19.7109375" style="5" customWidth="1"/>
    <col min="4" max="4" width="23" style="5" customWidth="1"/>
    <col min="5" max="6" width="20.7109375" style="19" customWidth="1"/>
    <col min="7" max="7" width="5.140625" style="4" customWidth="1"/>
    <col min="8" max="8" width="7.140625" style="5" customWidth="1"/>
    <col min="9" max="9" width="19.7109375" style="5" customWidth="1"/>
    <col min="10" max="10" width="18.7109375" style="5" customWidth="1"/>
    <col min="11" max="11" width="18.42578125" style="19" customWidth="1"/>
    <col min="12" max="12" width="19.7109375" style="19" customWidth="1"/>
    <col min="13" max="13" width="14.5703125" style="4" customWidth="1"/>
    <col min="14" max="15" width="14.5703125" style="5" customWidth="1"/>
    <col min="16" max="17" width="14.5703125" style="19" customWidth="1"/>
    <col min="18" max="18" width="14.5703125" style="4" customWidth="1"/>
    <col min="19" max="19" width="14.5703125" style="5" customWidth="1"/>
    <col min="20" max="24" width="16.7109375" style="5" customWidth="1"/>
    <col min="25" max="25" width="16.7109375" style="4" customWidth="1"/>
    <col min="26" max="34" width="9.140625" style="4"/>
    <col min="35" max="16384" width="9.140625" style="5"/>
  </cols>
  <sheetData>
    <row r="1" spans="2:34" s="4" customFormat="1" ht="39" customHeight="1">
      <c r="B1" s="83" t="s">
        <v>0</v>
      </c>
      <c r="C1" s="83"/>
      <c r="D1" s="67"/>
      <c r="E1" s="67"/>
      <c r="F1" s="67"/>
      <c r="I1" s="84"/>
      <c r="J1" s="84"/>
      <c r="K1" s="84"/>
      <c r="L1" s="84"/>
      <c r="O1" s="5"/>
    </row>
    <row r="2" spans="2:34" ht="18" customHeight="1">
      <c r="B2" s="70" t="s">
        <v>2</v>
      </c>
      <c r="C2" s="71"/>
      <c r="D2" s="22" t="s">
        <v>3</v>
      </c>
      <c r="E2" s="21" t="s">
        <v>4</v>
      </c>
      <c r="F2" s="21" t="s">
        <v>5</v>
      </c>
      <c r="H2" s="4"/>
      <c r="I2" s="76" t="s">
        <v>7</v>
      </c>
      <c r="J2" s="68"/>
      <c r="K2" s="68"/>
      <c r="L2" s="4"/>
      <c r="N2" s="4"/>
      <c r="O2" s="64" t="s">
        <v>8</v>
      </c>
      <c r="P2" s="65" t="s">
        <v>9</v>
      </c>
      <c r="Q2" s="4"/>
      <c r="S2" s="64" t="s">
        <v>10</v>
      </c>
      <c r="T2" s="65" t="s">
        <v>9</v>
      </c>
      <c r="U2" s="4"/>
      <c r="V2" s="4"/>
      <c r="W2" s="64" t="s">
        <v>11</v>
      </c>
      <c r="X2" s="65" t="s">
        <v>9</v>
      </c>
      <c r="AA2" s="64" t="s">
        <v>12</v>
      </c>
      <c r="AB2" s="65" t="s">
        <v>9</v>
      </c>
      <c r="AC2" s="5"/>
      <c r="AD2" s="5"/>
      <c r="AE2" s="5"/>
      <c r="AF2" s="5"/>
      <c r="AG2" s="5"/>
      <c r="AH2" s="5"/>
    </row>
    <row r="3" spans="2:34" ht="15.75" customHeight="1">
      <c r="B3" s="72"/>
      <c r="C3" s="73"/>
      <c r="D3" s="6" t="s">
        <v>21</v>
      </c>
      <c r="E3" s="7">
        <v>123</v>
      </c>
      <c r="F3" s="7">
        <v>76</v>
      </c>
      <c r="H3" s="4"/>
      <c r="I3" s="26" t="s">
        <v>17</v>
      </c>
      <c r="J3" s="26" t="s">
        <v>18</v>
      </c>
      <c r="K3" s="26" t="s">
        <v>125</v>
      </c>
      <c r="L3" s="26" t="s">
        <v>16</v>
      </c>
      <c r="N3" s="50" t="s">
        <v>19</v>
      </c>
      <c r="O3" s="66">
        <f>L4</f>
        <v>45</v>
      </c>
      <c r="P3" s="63">
        <f>O3/O5</f>
        <v>0.61643835616438358</v>
      </c>
      <c r="Q3" s="4"/>
      <c r="R3" s="50" t="s">
        <v>19</v>
      </c>
      <c r="S3" s="66">
        <f>J5</f>
        <v>16</v>
      </c>
      <c r="T3" s="63">
        <f>S3/S5</f>
        <v>1</v>
      </c>
      <c r="U3" s="4"/>
      <c r="V3" s="50" t="s">
        <v>19</v>
      </c>
      <c r="W3" s="66">
        <f>L6</f>
        <v>20</v>
      </c>
      <c r="X3" s="63">
        <f>W3/W5</f>
        <v>1</v>
      </c>
      <c r="Z3" s="50" t="s">
        <v>19</v>
      </c>
      <c r="AA3" s="66">
        <f>L7</f>
        <v>0</v>
      </c>
      <c r="AB3" s="63">
        <f>AA3/AA5</f>
        <v>0</v>
      </c>
      <c r="AC3" s="5"/>
      <c r="AD3" s="5"/>
      <c r="AE3" s="5"/>
      <c r="AF3" s="5"/>
      <c r="AG3" s="5"/>
      <c r="AH3" s="5"/>
    </row>
    <row r="4" spans="2:34" ht="15.75" customHeight="1">
      <c r="B4" s="72"/>
      <c r="C4" s="73"/>
      <c r="D4" s="6" t="s">
        <v>20</v>
      </c>
      <c r="E4" s="7">
        <v>211</v>
      </c>
      <c r="F4" s="7">
        <v>156</v>
      </c>
      <c r="H4" s="4"/>
      <c r="I4" s="57" t="s">
        <v>22</v>
      </c>
      <c r="J4" s="8">
        <v>45</v>
      </c>
      <c r="K4" s="8">
        <v>0</v>
      </c>
      <c r="L4" s="9">
        <f>SUM(J4:J4)</f>
        <v>45</v>
      </c>
      <c r="N4" s="53" t="s">
        <v>23</v>
      </c>
      <c r="O4" s="33">
        <v>28</v>
      </c>
      <c r="P4" s="63">
        <f>O4/O5</f>
        <v>0.38356164383561642</v>
      </c>
      <c r="Q4" s="4"/>
      <c r="R4" s="53" t="s">
        <v>23</v>
      </c>
      <c r="S4" s="33">
        <f>O13</f>
        <v>0</v>
      </c>
      <c r="T4" s="63">
        <f>S4/S5</f>
        <v>0</v>
      </c>
      <c r="U4" s="4"/>
      <c r="V4" s="53" t="s">
        <v>23</v>
      </c>
      <c r="W4" s="33">
        <f>O14</f>
        <v>0</v>
      </c>
      <c r="X4" s="63">
        <f>W4/W5</f>
        <v>0</v>
      </c>
      <c r="Z4" s="53" t="s">
        <v>23</v>
      </c>
      <c r="AA4" s="33">
        <f>Q23</f>
        <v>6</v>
      </c>
      <c r="AB4" s="63">
        <f>AA4/AA5</f>
        <v>1</v>
      </c>
      <c r="AC4" s="5"/>
      <c r="AD4" s="5"/>
      <c r="AE4" s="5"/>
      <c r="AF4" s="5"/>
      <c r="AG4" s="5"/>
      <c r="AH4" s="5"/>
    </row>
    <row r="5" spans="2:34" ht="15.75" customHeight="1">
      <c r="B5" s="72"/>
      <c r="C5" s="73"/>
      <c r="D5" s="6" t="s">
        <v>27</v>
      </c>
      <c r="E5" s="7">
        <v>298</v>
      </c>
      <c r="F5" s="7">
        <v>241</v>
      </c>
      <c r="H5" s="4"/>
      <c r="I5" s="57" t="s">
        <v>26</v>
      </c>
      <c r="J5" s="8">
        <v>16</v>
      </c>
      <c r="K5" s="8">
        <v>0</v>
      </c>
      <c r="L5" s="9">
        <f>SUM(J5:J5)</f>
        <v>16</v>
      </c>
      <c r="N5" s="51" t="s">
        <v>16</v>
      </c>
      <c r="O5" s="52">
        <f>O3+O4</f>
        <v>73</v>
      </c>
      <c r="P5" s="33">
        <v>100</v>
      </c>
      <c r="Q5" s="4"/>
      <c r="R5" s="51" t="s">
        <v>16</v>
      </c>
      <c r="S5" s="52">
        <f>S3+S4</f>
        <v>16</v>
      </c>
      <c r="T5" s="33">
        <v>100</v>
      </c>
      <c r="U5" s="4"/>
      <c r="V5" s="51" t="s">
        <v>16</v>
      </c>
      <c r="W5" s="52">
        <f>W3+W4</f>
        <v>20</v>
      </c>
      <c r="X5" s="33">
        <v>100</v>
      </c>
      <c r="Z5" s="51" t="s">
        <v>16</v>
      </c>
      <c r="AA5" s="52">
        <f>AA3+AA4</f>
        <v>6</v>
      </c>
      <c r="AB5" s="33">
        <v>100</v>
      </c>
      <c r="AC5" s="5"/>
      <c r="AD5" s="5"/>
      <c r="AE5" s="5"/>
      <c r="AF5" s="5"/>
      <c r="AG5" s="5"/>
      <c r="AH5" s="5"/>
    </row>
    <row r="6" spans="2:34" ht="15.75" customHeight="1">
      <c r="B6" s="72"/>
      <c r="C6" s="73"/>
      <c r="D6" s="6" t="s">
        <v>29</v>
      </c>
      <c r="E6" s="7">
        <v>252</v>
      </c>
      <c r="F6" s="7">
        <v>179</v>
      </c>
      <c r="H6" s="4"/>
      <c r="I6" s="57" t="s">
        <v>28</v>
      </c>
      <c r="J6" s="8">
        <v>20</v>
      </c>
      <c r="K6" s="8">
        <v>0</v>
      </c>
      <c r="L6" s="9">
        <f>SUM(J6:J6)</f>
        <v>20</v>
      </c>
      <c r="N6" s="4"/>
      <c r="O6" s="4"/>
      <c r="P6" s="4"/>
      <c r="Q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2:34" ht="15.75" customHeight="1">
      <c r="B7" s="74"/>
      <c r="C7" s="75"/>
      <c r="D7" s="24" t="s">
        <v>30</v>
      </c>
      <c r="E7" s="23">
        <f>SUM(E3:E6)</f>
        <v>884</v>
      </c>
      <c r="F7" s="23">
        <f>SUM(F3:F6)</f>
        <v>652</v>
      </c>
      <c r="H7" s="4"/>
      <c r="I7" s="57" t="s">
        <v>1</v>
      </c>
      <c r="J7" s="8">
        <v>0</v>
      </c>
      <c r="K7" s="8">
        <v>0</v>
      </c>
      <c r="L7" s="9">
        <f>SUM(J7:J7)</f>
        <v>0</v>
      </c>
      <c r="N7" s="4"/>
      <c r="O7" s="4"/>
      <c r="P7" s="4"/>
      <c r="Q7" s="4"/>
      <c r="S7" s="4"/>
      <c r="T7" s="4"/>
      <c r="U7" s="4"/>
      <c r="V7" s="4"/>
      <c r="W7" s="4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2:34" ht="15.75" customHeight="1">
      <c r="B8" s="70" t="s">
        <v>32</v>
      </c>
      <c r="C8" s="71"/>
      <c r="D8" s="22" t="s">
        <v>33</v>
      </c>
      <c r="E8" s="21" t="s">
        <v>4</v>
      </c>
      <c r="F8" s="21" t="s">
        <v>5</v>
      </c>
      <c r="H8" s="4"/>
      <c r="I8" s="27" t="s">
        <v>31</v>
      </c>
      <c r="J8" s="27">
        <f>SUM(J4:J7)</f>
        <v>81</v>
      </c>
      <c r="K8" s="27">
        <f>SUM(K4:K7)</f>
        <v>0</v>
      </c>
      <c r="L8" s="27">
        <f>SUM(L4:L7)</f>
        <v>81</v>
      </c>
      <c r="N8" s="4"/>
      <c r="O8" s="4"/>
      <c r="P8" s="4"/>
      <c r="Q8" s="4"/>
      <c r="S8" s="4"/>
      <c r="T8" s="4"/>
      <c r="U8" s="4"/>
      <c r="V8" s="4"/>
      <c r="W8" s="4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2:34" ht="15.75" customHeight="1">
      <c r="B9" s="72"/>
      <c r="C9" s="73"/>
      <c r="D9" s="6" t="s">
        <v>34</v>
      </c>
      <c r="E9" s="7">
        <v>191</v>
      </c>
      <c r="F9" s="7">
        <v>152</v>
      </c>
      <c r="H9" s="4"/>
      <c r="I9" s="4"/>
      <c r="J9" s="4"/>
      <c r="K9" s="4"/>
      <c r="L9" s="4"/>
      <c r="N9" s="4"/>
      <c r="O9" s="4"/>
      <c r="P9" s="4"/>
      <c r="Q9" s="4"/>
      <c r="S9" s="4"/>
      <c r="T9" s="4"/>
      <c r="U9" s="4"/>
      <c r="V9" s="4"/>
      <c r="W9" s="4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2:34" ht="15.75" customHeight="1">
      <c r="B10" s="72"/>
      <c r="C10" s="73"/>
      <c r="D10" s="6" t="s">
        <v>36</v>
      </c>
      <c r="E10" s="7">
        <v>190</v>
      </c>
      <c r="F10" s="7">
        <v>163</v>
      </c>
      <c r="H10" s="4"/>
      <c r="I10" s="76" t="s">
        <v>35</v>
      </c>
      <c r="J10" s="68"/>
      <c r="K10" s="68"/>
      <c r="L10" s="68"/>
      <c r="N10" s="4"/>
      <c r="O10" s="4"/>
      <c r="P10" s="4"/>
      <c r="Q10" s="4"/>
      <c r="S10" s="4"/>
      <c r="T10" s="4"/>
      <c r="U10" s="4"/>
      <c r="V10" s="4"/>
      <c r="W10" s="4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2:34" ht="15.75" customHeight="1">
      <c r="B11" s="72"/>
      <c r="C11" s="73"/>
      <c r="D11" s="6" t="s">
        <v>39</v>
      </c>
      <c r="E11" s="7">
        <v>142</v>
      </c>
      <c r="F11" s="7">
        <v>105</v>
      </c>
      <c r="H11" s="4"/>
      <c r="I11" s="26" t="s">
        <v>17</v>
      </c>
      <c r="J11" s="26" t="s">
        <v>20</v>
      </c>
      <c r="K11" s="26" t="s">
        <v>27</v>
      </c>
      <c r="L11" s="26" t="s">
        <v>37</v>
      </c>
      <c r="M11" s="26" t="s">
        <v>24</v>
      </c>
      <c r="N11" s="54" t="s">
        <v>16</v>
      </c>
      <c r="O11" s="4"/>
      <c r="P11" s="4"/>
      <c r="Q11" s="4"/>
      <c r="S11" s="4"/>
      <c r="T11" s="4"/>
      <c r="U11" s="4"/>
      <c r="V11" s="4"/>
      <c r="W11" s="4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2:34" ht="15.75" customHeight="1">
      <c r="B12" s="72"/>
      <c r="C12" s="73"/>
      <c r="D12" s="6" t="s">
        <v>40</v>
      </c>
      <c r="E12" s="7">
        <v>132</v>
      </c>
      <c r="F12" s="7">
        <v>114</v>
      </c>
      <c r="H12" s="4"/>
      <c r="I12" s="11" t="s">
        <v>22</v>
      </c>
      <c r="J12" s="8">
        <v>5</v>
      </c>
      <c r="K12" s="20">
        <v>1</v>
      </c>
      <c r="L12" s="8">
        <v>2</v>
      </c>
      <c r="M12" s="8">
        <v>3</v>
      </c>
      <c r="N12" s="55">
        <f>SUM(J12:M12)</f>
        <v>11</v>
      </c>
      <c r="O12" s="4"/>
      <c r="P12" s="4"/>
      <c r="Q12" s="4"/>
      <c r="S12" s="4"/>
      <c r="T12" s="4"/>
      <c r="U12" s="4"/>
      <c r="V12" s="4"/>
      <c r="W12" s="4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2:34" ht="15.75" customHeight="1">
      <c r="B13" s="72"/>
      <c r="C13" s="73"/>
      <c r="D13" s="6" t="s">
        <v>41</v>
      </c>
      <c r="E13" s="7">
        <v>20</v>
      </c>
      <c r="F13" s="7">
        <v>16</v>
      </c>
      <c r="H13" s="4"/>
      <c r="I13" s="11" t="s">
        <v>26</v>
      </c>
      <c r="J13" s="12">
        <v>1</v>
      </c>
      <c r="K13" s="12">
        <v>1</v>
      </c>
      <c r="L13" s="12">
        <v>0</v>
      </c>
      <c r="M13" s="12">
        <v>0</v>
      </c>
      <c r="N13" s="55">
        <f t="shared" ref="N13:N15" si="0">SUM(J13:M13)</f>
        <v>2</v>
      </c>
      <c r="O13" s="4"/>
      <c r="P13" s="4"/>
      <c r="Q13" s="4"/>
      <c r="S13" s="4"/>
      <c r="T13" s="4"/>
      <c r="U13" s="4"/>
      <c r="V13" s="4"/>
      <c r="W13" s="4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2:34" ht="15.75" customHeight="1">
      <c r="B14" s="72"/>
      <c r="C14" s="73"/>
      <c r="D14" s="6" t="s">
        <v>42</v>
      </c>
      <c r="E14" s="7">
        <v>64</v>
      </c>
      <c r="F14" s="7">
        <v>47</v>
      </c>
      <c r="H14" s="4"/>
      <c r="I14" s="13" t="s">
        <v>28</v>
      </c>
      <c r="J14" s="7">
        <v>0</v>
      </c>
      <c r="K14" s="7">
        <v>3</v>
      </c>
      <c r="L14" s="7">
        <v>1</v>
      </c>
      <c r="M14" s="7">
        <v>1</v>
      </c>
      <c r="N14" s="55">
        <f t="shared" si="0"/>
        <v>5</v>
      </c>
      <c r="O14" s="4"/>
      <c r="P14" s="4"/>
      <c r="Q14" s="4"/>
      <c r="S14" s="4"/>
      <c r="T14" s="4"/>
      <c r="U14" s="4"/>
      <c r="V14" s="4"/>
      <c r="W14" s="4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2:34" ht="15.75" customHeight="1">
      <c r="B15" s="72"/>
      <c r="C15" s="73"/>
      <c r="D15" s="6" t="s">
        <v>43</v>
      </c>
      <c r="E15" s="7">
        <v>76</v>
      </c>
      <c r="F15" s="7">
        <v>59</v>
      </c>
      <c r="H15" s="4"/>
      <c r="I15" s="13" t="s">
        <v>1</v>
      </c>
      <c r="J15" s="7">
        <v>0</v>
      </c>
      <c r="K15" s="7">
        <v>0</v>
      </c>
      <c r="L15" s="7">
        <v>0</v>
      </c>
      <c r="M15" s="7">
        <v>0</v>
      </c>
      <c r="N15" s="55">
        <f t="shared" si="0"/>
        <v>0</v>
      </c>
      <c r="O15" s="4"/>
      <c r="P15" s="4"/>
      <c r="Q15" s="4"/>
      <c r="S15" s="4"/>
      <c r="T15" s="4"/>
      <c r="U15" s="4"/>
      <c r="V15" s="4"/>
      <c r="W15" s="4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2:34" ht="15.75" customHeight="1">
      <c r="B16" s="74"/>
      <c r="C16" s="75"/>
      <c r="D16" s="24" t="s">
        <v>30</v>
      </c>
      <c r="E16" s="23">
        <f>SUM(E9:E15)</f>
        <v>815</v>
      </c>
      <c r="F16" s="23">
        <f>SUM(F9:F15)</f>
        <v>656</v>
      </c>
      <c r="H16" s="4"/>
      <c r="I16" s="27" t="s">
        <v>31</v>
      </c>
      <c r="J16" s="27">
        <f>SUM(J12:J15)</f>
        <v>6</v>
      </c>
      <c r="K16" s="27">
        <f>SUM(K12:K15)</f>
        <v>5</v>
      </c>
      <c r="L16" s="27">
        <f>SUM(L12:L15)</f>
        <v>3</v>
      </c>
      <c r="M16" s="27">
        <f>SUM(M12:M15)</f>
        <v>4</v>
      </c>
      <c r="N16" s="56">
        <f>SUM(N12:N15)</f>
        <v>18</v>
      </c>
      <c r="O16" s="4"/>
      <c r="P16" s="4"/>
      <c r="Q16" s="4"/>
      <c r="S16" s="4"/>
      <c r="T16" s="4"/>
      <c r="U16" s="4"/>
      <c r="V16" s="4"/>
      <c r="W16" s="4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2:34" ht="15.75" customHeight="1">
      <c r="B17" s="70" t="s">
        <v>44</v>
      </c>
      <c r="C17" s="71"/>
      <c r="D17" s="22" t="s">
        <v>19</v>
      </c>
      <c r="E17" s="21" t="s">
        <v>4</v>
      </c>
      <c r="F17" s="21" t="s">
        <v>5</v>
      </c>
      <c r="H17" s="4"/>
      <c r="I17" s="4"/>
      <c r="J17" s="4"/>
      <c r="K17" s="4"/>
      <c r="L17" s="4"/>
      <c r="N17" s="4"/>
      <c r="O17" s="4"/>
      <c r="P17" s="4"/>
      <c r="Q17" s="4"/>
      <c r="S17" s="4"/>
      <c r="T17" s="4"/>
      <c r="U17" s="4"/>
      <c r="V17" s="4"/>
      <c r="W17" s="4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4" ht="15.75" customHeight="1">
      <c r="B18" s="72"/>
      <c r="C18" s="73"/>
      <c r="D18" s="6" t="s">
        <v>46</v>
      </c>
      <c r="E18" s="7">
        <v>23</v>
      </c>
      <c r="F18" s="7">
        <v>14</v>
      </c>
      <c r="H18" s="4"/>
      <c r="I18" s="60" t="s">
        <v>45</v>
      </c>
      <c r="J18" s="61"/>
      <c r="K18" s="61"/>
      <c r="M18" s="19"/>
      <c r="N18" s="4"/>
      <c r="O18" s="4"/>
      <c r="P18" s="4"/>
      <c r="Q18" s="4"/>
      <c r="S18" s="4"/>
      <c r="T18" s="4"/>
      <c r="U18" s="4"/>
      <c r="V18" s="4"/>
      <c r="W18" s="4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2:34" ht="15.75" customHeight="1">
      <c r="B19" s="72"/>
      <c r="C19" s="73"/>
      <c r="D19" s="14" t="s">
        <v>49</v>
      </c>
      <c r="E19" s="7">
        <v>10</v>
      </c>
      <c r="F19" s="7">
        <v>10</v>
      </c>
      <c r="H19" s="4"/>
      <c r="I19" s="26" t="s">
        <v>17</v>
      </c>
      <c r="J19" s="26" t="s">
        <v>34</v>
      </c>
      <c r="K19" s="26" t="s">
        <v>36</v>
      </c>
      <c r="L19" s="26" t="s">
        <v>40</v>
      </c>
      <c r="M19" s="26" t="s">
        <v>39</v>
      </c>
      <c r="N19" s="26" t="s">
        <v>41</v>
      </c>
      <c r="O19" s="26" t="s">
        <v>42</v>
      </c>
      <c r="P19" s="26" t="s">
        <v>47</v>
      </c>
      <c r="Q19" s="26" t="s">
        <v>21</v>
      </c>
      <c r="R19" s="26" t="s">
        <v>16</v>
      </c>
      <c r="S19" s="4"/>
      <c r="T19" s="4"/>
      <c r="U19" s="4"/>
      <c r="V19" s="4"/>
      <c r="W19" s="4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2:34" ht="15.75" customHeight="1">
      <c r="B20" s="72"/>
      <c r="C20" s="73"/>
      <c r="D20" s="14" t="s">
        <v>50</v>
      </c>
      <c r="E20" s="7">
        <v>0</v>
      </c>
      <c r="F20" s="7">
        <v>0</v>
      </c>
      <c r="H20" s="4"/>
      <c r="I20" s="58" t="s">
        <v>22</v>
      </c>
      <c r="J20" s="8">
        <v>6</v>
      </c>
      <c r="K20" s="8">
        <v>17</v>
      </c>
      <c r="L20" s="8">
        <v>15</v>
      </c>
      <c r="M20" s="8">
        <v>12</v>
      </c>
      <c r="N20" s="8">
        <v>0</v>
      </c>
      <c r="O20" s="8">
        <v>2</v>
      </c>
      <c r="P20" s="8">
        <v>4</v>
      </c>
      <c r="Q20" s="8">
        <v>0</v>
      </c>
      <c r="R20" s="9">
        <f>SUM(J20:Q20)</f>
        <v>56</v>
      </c>
      <c r="S20" s="4"/>
      <c r="T20" s="4"/>
      <c r="U20" s="4"/>
      <c r="V20" s="4"/>
      <c r="W20" s="4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2:34" ht="15.75" customHeight="1">
      <c r="B21" s="72"/>
      <c r="C21" s="73"/>
      <c r="D21" s="14" t="s">
        <v>132</v>
      </c>
      <c r="E21" s="7">
        <v>28</v>
      </c>
      <c r="F21" s="7">
        <v>26</v>
      </c>
      <c r="H21" s="4"/>
      <c r="I21" s="58" t="s">
        <v>26</v>
      </c>
      <c r="J21" s="12">
        <v>0</v>
      </c>
      <c r="K21" s="12">
        <v>6</v>
      </c>
      <c r="L21" s="12">
        <v>6</v>
      </c>
      <c r="M21" s="12">
        <v>2</v>
      </c>
      <c r="N21" s="12">
        <v>0</v>
      </c>
      <c r="O21" s="12">
        <v>2</v>
      </c>
      <c r="P21" s="12">
        <v>2</v>
      </c>
      <c r="Q21" s="12">
        <v>0</v>
      </c>
      <c r="R21" s="9">
        <f>SUM(J21:Q21)</f>
        <v>18</v>
      </c>
      <c r="S21" s="4"/>
      <c r="T21" s="4"/>
      <c r="U21" s="4"/>
      <c r="V21" s="4"/>
      <c r="W21" s="4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2:34" ht="15.75" customHeight="1">
      <c r="B22" s="72"/>
      <c r="C22" s="73"/>
      <c r="D22" s="6" t="s">
        <v>51</v>
      </c>
      <c r="E22" s="7">
        <v>76</v>
      </c>
      <c r="F22" s="7">
        <v>52</v>
      </c>
      <c r="H22" s="4"/>
      <c r="I22" s="59" t="s">
        <v>28</v>
      </c>
      <c r="J22" s="7">
        <v>2</v>
      </c>
      <c r="K22" s="7">
        <v>4</v>
      </c>
      <c r="L22" s="7">
        <v>4</v>
      </c>
      <c r="M22" s="7">
        <v>2</v>
      </c>
      <c r="N22" s="7">
        <v>0</v>
      </c>
      <c r="O22" s="7">
        <v>4</v>
      </c>
      <c r="P22" s="7">
        <v>3</v>
      </c>
      <c r="Q22" s="7">
        <v>0</v>
      </c>
      <c r="R22" s="9">
        <f t="shared" ref="R21:R24" si="1">SUM(J22:Q22)</f>
        <v>19</v>
      </c>
      <c r="S22" s="4"/>
      <c r="T22" s="4"/>
      <c r="U22" s="4"/>
      <c r="V22" s="4"/>
      <c r="W22" s="4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2:34" ht="15.75" customHeight="1">
      <c r="B23" s="74"/>
      <c r="C23" s="75"/>
      <c r="D23" s="24" t="s">
        <v>30</v>
      </c>
      <c r="E23" s="23">
        <f>SUM(E18:E22)</f>
        <v>137</v>
      </c>
      <c r="F23" s="23">
        <f>SUM(F18:F22)</f>
        <v>102</v>
      </c>
      <c r="H23" s="4"/>
      <c r="I23" s="59" t="s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6</v>
      </c>
      <c r="R23" s="9">
        <f t="shared" si="1"/>
        <v>6</v>
      </c>
      <c r="S23" s="4"/>
      <c r="T23" s="4"/>
      <c r="U23" s="4"/>
      <c r="V23" s="4"/>
      <c r="W23" s="4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2:34" ht="15.75" customHeight="1">
      <c r="B24" s="70" t="s">
        <v>52</v>
      </c>
      <c r="C24" s="71"/>
      <c r="D24" s="22" t="s">
        <v>53</v>
      </c>
      <c r="E24" s="21" t="s">
        <v>4</v>
      </c>
      <c r="F24" s="21" t="s">
        <v>5</v>
      </c>
      <c r="H24" s="4"/>
      <c r="I24" s="59" t="s">
        <v>54</v>
      </c>
      <c r="J24" s="7">
        <v>1</v>
      </c>
      <c r="K24" s="7">
        <v>3</v>
      </c>
      <c r="L24" s="7">
        <v>3</v>
      </c>
      <c r="M24" s="7">
        <v>1</v>
      </c>
      <c r="N24" s="7">
        <v>0</v>
      </c>
      <c r="O24" s="7">
        <v>0</v>
      </c>
      <c r="P24" s="7">
        <v>1</v>
      </c>
      <c r="Q24" s="19">
        <v>0</v>
      </c>
      <c r="R24" s="9">
        <f t="shared" si="1"/>
        <v>9</v>
      </c>
      <c r="S24" s="4"/>
      <c r="T24" s="4"/>
      <c r="U24" s="4"/>
      <c r="V24" s="4"/>
      <c r="W24" s="4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2:34" ht="15.75" customHeight="1">
      <c r="B25" s="72"/>
      <c r="C25" s="73"/>
      <c r="D25" s="6" t="s">
        <v>55</v>
      </c>
      <c r="E25" s="7">
        <v>19</v>
      </c>
      <c r="F25" s="7">
        <v>16</v>
      </c>
      <c r="H25" s="4"/>
      <c r="I25" s="27" t="s">
        <v>31</v>
      </c>
      <c r="J25" s="27">
        <f>SUM(J20:J24)</f>
        <v>9</v>
      </c>
      <c r="K25" s="27">
        <f t="shared" ref="K25:L25" si="2">SUM(K20:K24)</f>
        <v>30</v>
      </c>
      <c r="L25" s="27">
        <f t="shared" si="2"/>
        <v>28</v>
      </c>
      <c r="M25" s="27">
        <f>SUM(M20:M24)</f>
        <v>17</v>
      </c>
      <c r="N25" s="27">
        <f>SUM(N20:N24)</f>
        <v>0</v>
      </c>
      <c r="O25" s="27">
        <f>SUM(O20:O24)</f>
        <v>8</v>
      </c>
      <c r="P25" s="27">
        <f>SUM(P20:P24)</f>
        <v>10</v>
      </c>
      <c r="Q25" s="27">
        <f>SUM(Q20:Q23)</f>
        <v>6</v>
      </c>
      <c r="R25" s="27">
        <f>SUM(R20:R24)</f>
        <v>108</v>
      </c>
      <c r="S25" s="4"/>
      <c r="T25" s="4"/>
      <c r="U25" s="4"/>
      <c r="V25" s="4"/>
      <c r="W25" s="4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2:34" ht="15.75" customHeight="1">
      <c r="B26" s="72"/>
      <c r="C26" s="73"/>
      <c r="D26" s="6" t="s">
        <v>56</v>
      </c>
      <c r="E26" s="7">
        <v>21</v>
      </c>
      <c r="F26" s="7">
        <v>17</v>
      </c>
      <c r="H26" s="4"/>
      <c r="I26" s="4"/>
      <c r="J26" s="4"/>
      <c r="K26" s="4"/>
      <c r="L26" s="4"/>
      <c r="M26" s="19"/>
      <c r="N26" s="4"/>
      <c r="O26" s="19"/>
      <c r="P26" s="4"/>
      <c r="S26" s="4"/>
      <c r="T26" s="4"/>
      <c r="U26" s="4"/>
      <c r="V26" s="4"/>
      <c r="W26" s="4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2:34" ht="15.75" customHeight="1">
      <c r="B27" s="74"/>
      <c r="C27" s="75"/>
      <c r="D27" s="77" t="s">
        <v>30</v>
      </c>
      <c r="E27" s="23">
        <f>SUM(E25:E26)</f>
        <v>40</v>
      </c>
      <c r="F27" s="23">
        <f>SUM(F25:F26)</f>
        <v>33</v>
      </c>
      <c r="H27" s="4"/>
      <c r="I27" s="60" t="s">
        <v>57</v>
      </c>
      <c r="J27" s="61"/>
      <c r="K27" s="61"/>
      <c r="L27" s="4"/>
      <c r="N27" s="4"/>
      <c r="O27" s="4"/>
      <c r="P27" s="4"/>
      <c r="Q27" s="4"/>
      <c r="S27" s="19"/>
      <c r="T27" s="4"/>
      <c r="U27" s="4"/>
      <c r="V27" s="4"/>
      <c r="W27" s="4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2:34" ht="15.75" customHeight="1">
      <c r="B28" s="79" t="s">
        <v>58</v>
      </c>
      <c r="C28" s="80"/>
      <c r="D28" s="78"/>
      <c r="E28" s="23">
        <f>+E7+E16+E23+E27</f>
        <v>1876</v>
      </c>
      <c r="F28" s="23">
        <f>+F7+F16+F23+F27</f>
        <v>1443</v>
      </c>
      <c r="H28" s="4"/>
      <c r="I28" s="26" t="s">
        <v>17</v>
      </c>
      <c r="J28" s="26" t="s">
        <v>59</v>
      </c>
      <c r="K28" s="26" t="s">
        <v>60</v>
      </c>
      <c r="L28" s="4"/>
      <c r="N28" s="4"/>
      <c r="O28" s="4"/>
      <c r="P28" s="4"/>
      <c r="Q28" s="4"/>
      <c r="S28" s="4"/>
      <c r="T28" s="4"/>
      <c r="U28" s="4"/>
      <c r="V28" s="4"/>
      <c r="W28" s="4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2:34" ht="15.75" customHeight="1">
      <c r="B29" s="4"/>
      <c r="C29" s="4"/>
      <c r="D29" s="4"/>
      <c r="E29" s="10"/>
      <c r="F29" s="10"/>
      <c r="H29" s="4"/>
      <c r="I29" s="57" t="s">
        <v>61</v>
      </c>
      <c r="J29" s="8">
        <f>L8</f>
        <v>81</v>
      </c>
      <c r="K29" s="9">
        <f>F27+F23+F16</f>
        <v>791</v>
      </c>
      <c r="L29" s="4"/>
      <c r="N29" s="4"/>
      <c r="O29" s="4"/>
      <c r="P29" s="4"/>
      <c r="Q29" s="4"/>
      <c r="S29" s="4"/>
      <c r="T29" s="4"/>
      <c r="U29" s="4"/>
      <c r="V29" s="4"/>
      <c r="W29" s="4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2:34" ht="15.75" customHeight="1">
      <c r="B30" s="68" t="s">
        <v>133</v>
      </c>
      <c r="C30" s="68"/>
      <c r="D30" s="68"/>
      <c r="E30" s="68"/>
      <c r="F30" s="69"/>
      <c r="H30" s="4"/>
      <c r="I30" s="57" t="s">
        <v>63</v>
      </c>
      <c r="J30" s="8">
        <f>N16</f>
        <v>18</v>
      </c>
      <c r="K30" s="9">
        <f>F7</f>
        <v>652</v>
      </c>
      <c r="L30" s="4"/>
      <c r="N30" s="4"/>
      <c r="O30" s="4"/>
      <c r="P30" s="4"/>
      <c r="Q30" s="4"/>
      <c r="S30" s="4"/>
      <c r="T30" s="4"/>
      <c r="U30" s="4"/>
      <c r="V30" s="4"/>
      <c r="W30" s="4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2:34" ht="15.75" customHeight="1">
      <c r="B31" s="22" t="s">
        <v>14</v>
      </c>
      <c r="C31" s="22" t="s">
        <v>64</v>
      </c>
      <c r="D31" s="22" t="s">
        <v>15</v>
      </c>
      <c r="E31" s="22" t="s">
        <v>65</v>
      </c>
      <c r="F31" s="22" t="s">
        <v>16</v>
      </c>
      <c r="H31" s="4"/>
      <c r="I31" s="27" t="s">
        <v>31</v>
      </c>
      <c r="J31" s="27">
        <f>SUM(J29:J30)</f>
        <v>99</v>
      </c>
      <c r="K31" s="27">
        <f>SUM(K29:K30)</f>
        <v>1443</v>
      </c>
      <c r="L31" s="4"/>
      <c r="N31" s="4"/>
      <c r="O31" s="4"/>
      <c r="P31" s="4"/>
      <c r="Q31" s="4"/>
      <c r="S31" s="4"/>
      <c r="T31" s="4"/>
      <c r="U31" s="4"/>
      <c r="V31" s="4"/>
      <c r="W31" s="4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2:34" ht="15.75" customHeight="1">
      <c r="B32" s="1" t="s">
        <v>21</v>
      </c>
      <c r="C32" s="7">
        <v>4</v>
      </c>
      <c r="D32" s="7">
        <v>104</v>
      </c>
      <c r="E32" s="15">
        <v>2</v>
      </c>
      <c r="F32" s="16">
        <f>SUM(C32:E32)</f>
        <v>110</v>
      </c>
      <c r="H32" s="4"/>
      <c r="J32" s="4"/>
      <c r="K32" s="4"/>
      <c r="L32" s="4"/>
      <c r="N32" s="4"/>
      <c r="O32" s="4"/>
      <c r="P32" s="4"/>
      <c r="Q32" s="4"/>
      <c r="S32" s="4"/>
      <c r="T32" s="4"/>
      <c r="U32" s="4"/>
      <c r="V32" s="4"/>
      <c r="W32" s="4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5.75" customHeight="1">
      <c r="B33" s="1" t="s">
        <v>20</v>
      </c>
      <c r="C33" s="7">
        <v>14</v>
      </c>
      <c r="D33" s="7">
        <v>117</v>
      </c>
      <c r="E33" s="15">
        <v>14</v>
      </c>
      <c r="F33" s="16">
        <f>SUM(C33:E33)</f>
        <v>145</v>
      </c>
      <c r="H33" s="4"/>
      <c r="I33" s="10"/>
      <c r="J33" s="4"/>
      <c r="K33" s="4"/>
      <c r="L33" s="4"/>
      <c r="N33" s="4"/>
      <c r="O33" s="4"/>
      <c r="P33" s="4"/>
      <c r="Q33" s="4"/>
      <c r="S33" s="4"/>
      <c r="T33" s="4"/>
      <c r="U33" s="4"/>
      <c r="V33" s="4"/>
      <c r="W33" s="4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5.75" customHeight="1">
      <c r="B34" s="1" t="s">
        <v>27</v>
      </c>
      <c r="C34" s="7">
        <v>3</v>
      </c>
      <c r="D34" s="7">
        <v>78</v>
      </c>
      <c r="E34" s="15">
        <v>28</v>
      </c>
      <c r="F34" s="16">
        <f>SUM(C34:E34)</f>
        <v>109</v>
      </c>
      <c r="H34" s="4"/>
      <c r="I34" s="4"/>
      <c r="J34" s="4"/>
      <c r="K34" s="4"/>
      <c r="L34" s="4"/>
      <c r="N34" s="4"/>
      <c r="O34" s="4"/>
      <c r="P34" s="4"/>
      <c r="Q34" s="4"/>
      <c r="S34" s="4"/>
      <c r="T34" s="4"/>
      <c r="U34" s="4"/>
      <c r="V34" s="4"/>
      <c r="W34" s="4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customHeight="1">
      <c r="B35" s="1" t="s">
        <v>29</v>
      </c>
      <c r="C35" s="7">
        <v>15</v>
      </c>
      <c r="D35" s="7">
        <v>118</v>
      </c>
      <c r="E35" s="15">
        <v>10</v>
      </c>
      <c r="F35" s="16">
        <f>SUM(C35:E35)</f>
        <v>143</v>
      </c>
      <c r="H35" s="4"/>
      <c r="I35" s="4"/>
      <c r="J35" s="4"/>
      <c r="K35" s="4"/>
      <c r="L35" s="4"/>
      <c r="N35" s="4"/>
      <c r="O35" s="4"/>
      <c r="P35" s="4"/>
      <c r="Q35" s="4"/>
      <c r="S35" s="4"/>
      <c r="T35" s="4"/>
      <c r="U35" s="4"/>
      <c r="V35" s="4"/>
      <c r="W35" s="4"/>
      <c r="X35" s="4"/>
      <c r="AC35" s="5"/>
      <c r="AD35" s="5"/>
      <c r="AE35" s="5"/>
      <c r="AF35" s="5"/>
      <c r="AG35" s="5"/>
      <c r="AH35" s="5"/>
    </row>
    <row r="36" spans="1:34" ht="15.75" customHeight="1">
      <c r="B36" s="24" t="s">
        <v>25</v>
      </c>
      <c r="C36" s="23">
        <f>SUM(C32:C35)</f>
        <v>36</v>
      </c>
      <c r="D36" s="23">
        <f t="shared" ref="D36:F36" si="3">SUM(D32:D35)</f>
        <v>417</v>
      </c>
      <c r="E36" s="23">
        <f t="shared" si="3"/>
        <v>54</v>
      </c>
      <c r="F36" s="23">
        <f t="shared" si="3"/>
        <v>507</v>
      </c>
      <c r="H36" s="4"/>
      <c r="I36" s="4"/>
      <c r="J36" s="4"/>
      <c r="K36" s="4"/>
      <c r="L36" s="10"/>
      <c r="N36" s="4"/>
      <c r="O36" s="4"/>
      <c r="P36" s="4"/>
      <c r="Q36" s="4"/>
      <c r="S36" s="4"/>
      <c r="T36" s="4"/>
      <c r="U36" s="4"/>
      <c r="V36" s="4"/>
      <c r="W36" s="4"/>
      <c r="X36" s="4"/>
      <c r="AC36" s="5"/>
      <c r="AD36" s="5"/>
      <c r="AE36" s="5"/>
      <c r="AF36" s="5"/>
      <c r="AG36" s="5"/>
      <c r="AH36" s="5"/>
    </row>
    <row r="37" spans="1:34" ht="15.75" customHeight="1">
      <c r="B37" s="4"/>
      <c r="C37" s="4"/>
      <c r="D37" s="4"/>
      <c r="E37" s="10"/>
      <c r="F37" s="10"/>
      <c r="H37" s="4"/>
      <c r="S37" s="4"/>
      <c r="T37" s="4"/>
      <c r="U37" s="4"/>
      <c r="V37" s="4"/>
      <c r="W37" s="4"/>
      <c r="X37" s="4"/>
    </row>
    <row r="38" spans="1:34" ht="15.75" customHeight="1">
      <c r="B38" s="10"/>
      <c r="C38" s="10"/>
      <c r="D38" s="10"/>
      <c r="E38" s="10"/>
      <c r="F38" s="10"/>
      <c r="H38" s="4"/>
      <c r="I38" s="4"/>
      <c r="J38" s="4"/>
      <c r="K38" s="10"/>
      <c r="L38" s="10"/>
      <c r="N38" s="4"/>
      <c r="O38" s="4"/>
      <c r="P38" s="4"/>
      <c r="Q38" s="4"/>
      <c r="S38" s="4"/>
      <c r="T38" s="4"/>
      <c r="U38" s="4"/>
      <c r="V38" s="4"/>
      <c r="W38" s="4"/>
      <c r="X38" s="4"/>
    </row>
    <row r="39" spans="1:34" ht="15.75" customHeight="1">
      <c r="B39" s="68" t="s">
        <v>21</v>
      </c>
      <c r="C39" s="69"/>
      <c r="D39" s="4"/>
      <c r="E39" s="68" t="s">
        <v>20</v>
      </c>
      <c r="F39" s="69"/>
      <c r="H39" s="4"/>
      <c r="I39" s="4"/>
      <c r="J39" s="4"/>
      <c r="K39" s="10"/>
      <c r="L39" s="10"/>
      <c r="N39" s="4"/>
      <c r="O39" s="4"/>
      <c r="P39" s="4"/>
      <c r="Q39" s="4"/>
      <c r="S39" s="4"/>
      <c r="T39" s="4"/>
      <c r="U39" s="4"/>
      <c r="V39" s="4"/>
      <c r="W39" s="4"/>
      <c r="X39" s="4"/>
    </row>
    <row r="40" spans="1:34" ht="15.75" customHeight="1">
      <c r="B40" s="34" t="s">
        <v>68</v>
      </c>
      <c r="C40" s="34" t="s">
        <v>134</v>
      </c>
      <c r="D40" s="10"/>
      <c r="E40" s="34" t="s">
        <v>68</v>
      </c>
      <c r="F40" s="34" t="str">
        <f>C40</f>
        <v>CORTE AL 31/03/2026</v>
      </c>
      <c r="H40" s="68" t="s">
        <v>67</v>
      </c>
      <c r="I40" s="69"/>
      <c r="J40" s="4"/>
      <c r="K40" s="68" t="s">
        <v>135</v>
      </c>
      <c r="L40" s="69"/>
      <c r="N40" s="4"/>
      <c r="O40" s="4"/>
      <c r="P40" s="4"/>
      <c r="Q40" s="4"/>
      <c r="S40" s="4"/>
      <c r="T40" s="4"/>
      <c r="U40" s="4"/>
      <c r="V40" s="4"/>
      <c r="W40" s="4"/>
      <c r="X40" s="4"/>
    </row>
    <row r="41" spans="1:34" ht="15.75" customHeight="1">
      <c r="B41" s="39" t="s">
        <v>74</v>
      </c>
      <c r="C41" s="36">
        <v>15</v>
      </c>
      <c r="D41" s="18"/>
      <c r="E41" s="37" t="s">
        <v>71</v>
      </c>
      <c r="F41" s="36">
        <v>33</v>
      </c>
      <c r="H41" s="34" t="s">
        <v>68</v>
      </c>
      <c r="I41" s="34" t="str">
        <f>C40</f>
        <v>CORTE AL 31/03/2026</v>
      </c>
      <c r="J41" s="4"/>
      <c r="K41" s="34" t="s">
        <v>68</v>
      </c>
      <c r="L41" s="34" t="str">
        <f>C40</f>
        <v>CORTE AL 31/03/2026</v>
      </c>
      <c r="N41" s="4"/>
      <c r="O41" s="4"/>
      <c r="P41" s="4"/>
      <c r="Q41" s="4"/>
      <c r="S41" s="4"/>
      <c r="T41" s="4"/>
      <c r="U41" s="4"/>
      <c r="V41" s="4"/>
      <c r="W41" s="4"/>
      <c r="X41" s="4"/>
    </row>
    <row r="42" spans="1:34">
      <c r="B42" s="39" t="s">
        <v>94</v>
      </c>
      <c r="C42" s="36">
        <v>10</v>
      </c>
      <c r="D42" s="18"/>
      <c r="E42" s="37" t="s">
        <v>75</v>
      </c>
      <c r="F42" s="36">
        <v>19</v>
      </c>
      <c r="H42" s="39" t="s">
        <v>100</v>
      </c>
      <c r="I42" s="36">
        <v>13</v>
      </c>
      <c r="J42" s="17"/>
      <c r="K42" s="37" t="s">
        <v>73</v>
      </c>
      <c r="L42" s="36">
        <v>13</v>
      </c>
      <c r="N42" s="4"/>
      <c r="O42" s="4"/>
      <c r="P42" s="4"/>
      <c r="Q42" s="4"/>
      <c r="S42" s="4"/>
      <c r="T42" s="4"/>
      <c r="U42" s="4"/>
      <c r="V42" s="4"/>
      <c r="W42" s="4"/>
      <c r="X42" s="4"/>
    </row>
    <row r="43" spans="1:34" s="48" customFormat="1" ht="15.75" customHeight="1">
      <c r="A43" s="18"/>
      <c r="B43" s="39" t="s">
        <v>102</v>
      </c>
      <c r="C43" s="36">
        <v>9</v>
      </c>
      <c r="D43" s="18"/>
      <c r="E43" s="37" t="s">
        <v>70</v>
      </c>
      <c r="F43" s="36">
        <v>17</v>
      </c>
      <c r="G43" s="18"/>
      <c r="H43" s="39" t="s">
        <v>76</v>
      </c>
      <c r="I43" s="36">
        <v>13</v>
      </c>
      <c r="J43" s="17"/>
      <c r="K43" s="37" t="s">
        <v>81</v>
      </c>
      <c r="L43" s="36">
        <v>13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s="48" customFormat="1" ht="12.75">
      <c r="A44" s="18"/>
      <c r="B44" s="39" t="s">
        <v>90</v>
      </c>
      <c r="C44" s="36">
        <v>7</v>
      </c>
      <c r="D44" s="18"/>
      <c r="E44" s="37" t="s">
        <v>79</v>
      </c>
      <c r="F44" s="36">
        <v>11</v>
      </c>
      <c r="G44" s="18"/>
      <c r="H44" s="39" t="s">
        <v>129</v>
      </c>
      <c r="I44" s="36">
        <v>12</v>
      </c>
      <c r="J44" s="17"/>
      <c r="K44" s="37" t="s">
        <v>85</v>
      </c>
      <c r="L44" s="36">
        <v>13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spans="1:34" s="48" customFormat="1" ht="12.75">
      <c r="A45" s="18"/>
      <c r="B45" s="39" t="s">
        <v>82</v>
      </c>
      <c r="C45" s="36">
        <v>6</v>
      </c>
      <c r="D45" s="18"/>
      <c r="E45" s="37" t="s">
        <v>95</v>
      </c>
      <c r="F45" s="36">
        <v>7</v>
      </c>
      <c r="G45" s="18"/>
      <c r="H45" s="39" t="s">
        <v>72</v>
      </c>
      <c r="I45" s="36">
        <v>10</v>
      </c>
      <c r="J45" s="17"/>
      <c r="K45" s="37" t="s">
        <v>77</v>
      </c>
      <c r="L45" s="36">
        <v>13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spans="1:34" s="48" customFormat="1" ht="12.75">
      <c r="A46" s="18"/>
      <c r="B46" s="39" t="s">
        <v>86</v>
      </c>
      <c r="C46" s="36">
        <v>5</v>
      </c>
      <c r="D46" s="18"/>
      <c r="E46" s="37" t="s">
        <v>99</v>
      </c>
      <c r="F46" s="36">
        <v>6</v>
      </c>
      <c r="G46" s="18"/>
      <c r="H46" s="39" t="s">
        <v>108</v>
      </c>
      <c r="I46" s="36">
        <v>7</v>
      </c>
      <c r="J46" s="17"/>
      <c r="K46" s="37" t="s">
        <v>97</v>
      </c>
      <c r="L46" s="36">
        <v>11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s="48" customFormat="1" ht="12.75">
      <c r="A47" s="18"/>
      <c r="B47" s="39" t="s">
        <v>136</v>
      </c>
      <c r="C47" s="36">
        <v>1</v>
      </c>
      <c r="D47" s="18"/>
      <c r="E47" s="37" t="s">
        <v>87</v>
      </c>
      <c r="F47" s="36">
        <v>6</v>
      </c>
      <c r="G47" s="18"/>
      <c r="H47" s="39" t="s">
        <v>114</v>
      </c>
      <c r="I47" s="36">
        <v>5</v>
      </c>
      <c r="J47" s="17"/>
      <c r="K47" s="37" t="s">
        <v>93</v>
      </c>
      <c r="L47" s="36">
        <v>10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spans="1:34" s="48" customFormat="1" ht="12.75">
      <c r="A48" s="18"/>
      <c r="B48" s="39" t="s">
        <v>137</v>
      </c>
      <c r="C48" s="36">
        <v>0</v>
      </c>
      <c r="D48" s="18"/>
      <c r="E48" s="37" t="s">
        <v>83</v>
      </c>
      <c r="F48" s="36">
        <v>5</v>
      </c>
      <c r="G48" s="18"/>
      <c r="H48" s="39" t="s">
        <v>104</v>
      </c>
      <c r="I48" s="36">
        <v>5</v>
      </c>
      <c r="J48" s="17"/>
      <c r="K48" s="37" t="s">
        <v>101</v>
      </c>
      <c r="L48" s="36">
        <v>9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spans="1:34" s="48" customFormat="1" ht="12.75">
      <c r="A49" s="18"/>
      <c r="B49" s="39" t="s">
        <v>138</v>
      </c>
      <c r="C49" s="36">
        <v>0</v>
      </c>
      <c r="D49" s="18"/>
      <c r="E49" s="37" t="s">
        <v>91</v>
      </c>
      <c r="F49" s="36">
        <v>4</v>
      </c>
      <c r="G49" s="18"/>
      <c r="H49" s="39" t="s">
        <v>96</v>
      </c>
      <c r="I49" s="36">
        <v>5</v>
      </c>
      <c r="J49" s="18"/>
      <c r="K49" s="37" t="s">
        <v>89</v>
      </c>
      <c r="L49" s="36">
        <v>7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s="48" customFormat="1" ht="12.75">
      <c r="A50" s="18"/>
      <c r="B50" s="39" t="s">
        <v>139</v>
      </c>
      <c r="C50" s="36">
        <v>0</v>
      </c>
      <c r="D50" s="18"/>
      <c r="E50" s="37" t="s">
        <v>107</v>
      </c>
      <c r="F50" s="36">
        <v>2</v>
      </c>
      <c r="G50" s="18"/>
      <c r="H50" s="39" t="s">
        <v>80</v>
      </c>
      <c r="I50" s="36">
        <v>4</v>
      </c>
      <c r="J50" s="18"/>
      <c r="K50" s="37" t="s">
        <v>121</v>
      </c>
      <c r="L50" s="36">
        <v>2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spans="1:34" s="48" customFormat="1" ht="12.75">
      <c r="A51" s="18"/>
      <c r="B51" s="39" t="s">
        <v>98</v>
      </c>
      <c r="C51" s="36">
        <v>0</v>
      </c>
      <c r="D51" s="18"/>
      <c r="E51" s="37" t="s">
        <v>103</v>
      </c>
      <c r="F51" s="36">
        <v>2</v>
      </c>
      <c r="G51" s="18"/>
      <c r="H51" s="39" t="s">
        <v>128</v>
      </c>
      <c r="I51" s="36">
        <v>4</v>
      </c>
      <c r="J51" s="18"/>
      <c r="K51" s="37" t="s">
        <v>105</v>
      </c>
      <c r="L51" s="36">
        <v>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spans="1:34" s="48" customFormat="1" ht="12.75">
      <c r="A52" s="18"/>
      <c r="B52" s="39" t="s">
        <v>140</v>
      </c>
      <c r="C52" s="36">
        <v>0</v>
      </c>
      <c r="D52" s="18"/>
      <c r="E52" s="37" t="s">
        <v>119</v>
      </c>
      <c r="F52" s="36">
        <v>1</v>
      </c>
      <c r="G52" s="18"/>
      <c r="H52" s="39" t="s">
        <v>141</v>
      </c>
      <c r="I52" s="36">
        <v>0</v>
      </c>
      <c r="J52" s="18"/>
      <c r="K52" s="37" t="s">
        <v>118</v>
      </c>
      <c r="L52" s="36">
        <v>1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spans="1:34" s="48" customFormat="1" ht="12.75">
      <c r="A53" s="18"/>
      <c r="B53" s="39" t="s">
        <v>106</v>
      </c>
      <c r="C53" s="36">
        <v>0</v>
      </c>
      <c r="D53" s="18"/>
      <c r="E53" s="37" t="s">
        <v>123</v>
      </c>
      <c r="F53" s="36">
        <v>1</v>
      </c>
      <c r="G53" s="18"/>
      <c r="H53" s="39" t="s">
        <v>142</v>
      </c>
      <c r="I53" s="36">
        <v>0</v>
      </c>
      <c r="J53" s="18"/>
      <c r="K53" s="37" t="s">
        <v>112</v>
      </c>
      <c r="L53" s="36">
        <v>1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s="48" customFormat="1" ht="12.75">
      <c r="A54" s="18"/>
      <c r="B54" s="39" t="s">
        <v>143</v>
      </c>
      <c r="C54" s="36">
        <v>0</v>
      </c>
      <c r="D54" s="18"/>
      <c r="E54" s="37" t="s">
        <v>113</v>
      </c>
      <c r="F54" s="36">
        <v>1</v>
      </c>
      <c r="G54" s="18"/>
      <c r="H54" s="39" t="s">
        <v>117</v>
      </c>
      <c r="I54" s="36">
        <v>0</v>
      </c>
      <c r="J54" s="18"/>
      <c r="K54" s="37" t="s">
        <v>109</v>
      </c>
      <c r="L54" s="36">
        <v>1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s="48" customFormat="1" ht="12.75">
      <c r="A55" s="18"/>
      <c r="B55" s="39" t="s">
        <v>123</v>
      </c>
      <c r="C55" s="36">
        <v>0</v>
      </c>
      <c r="D55" s="18"/>
      <c r="E55" s="37" t="s">
        <v>116</v>
      </c>
      <c r="F55" s="36">
        <v>1</v>
      </c>
      <c r="G55" s="18"/>
      <c r="H55" s="39" t="s">
        <v>120</v>
      </c>
      <c r="I55" s="36">
        <v>0</v>
      </c>
      <c r="J55" s="18"/>
      <c r="K55" s="37" t="s">
        <v>115</v>
      </c>
      <c r="L55" s="36">
        <v>1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s="48" customFormat="1">
      <c r="A56" s="18"/>
      <c r="B56" s="39" t="s">
        <v>144</v>
      </c>
      <c r="C56" s="36">
        <v>0</v>
      </c>
      <c r="D56" s="18"/>
      <c r="E56" s="37" t="s">
        <v>110</v>
      </c>
      <c r="F56" s="36">
        <v>1</v>
      </c>
      <c r="G56" s="18"/>
      <c r="H56" s="4"/>
      <c r="I56" s="4"/>
      <c r="J56" s="18"/>
      <c r="K56" s="17"/>
      <c r="L56" s="10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s="48" customFormat="1">
      <c r="A57" s="18"/>
      <c r="B57" s="39" t="s">
        <v>145</v>
      </c>
      <c r="C57" s="36">
        <v>0</v>
      </c>
      <c r="D57" s="18"/>
      <c r="E57" s="37" t="s">
        <v>124</v>
      </c>
      <c r="F57" s="36">
        <v>0</v>
      </c>
      <c r="G57" s="18"/>
      <c r="H57" s="4"/>
      <c r="I57" s="4"/>
      <c r="J57" s="18"/>
      <c r="K57" s="17"/>
      <c r="L57" s="10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s="18" customFormat="1">
      <c r="B58" s="39" t="s">
        <v>146</v>
      </c>
      <c r="C58" s="36">
        <v>0</v>
      </c>
      <c r="E58" s="37" t="s">
        <v>122</v>
      </c>
      <c r="F58" s="36">
        <v>0</v>
      </c>
      <c r="H58" s="4"/>
      <c r="I58" s="4"/>
      <c r="K58" s="10"/>
      <c r="L58" s="10"/>
    </row>
    <row r="59" spans="1:34" s="18" customFormat="1">
      <c r="B59" s="39" t="s">
        <v>147</v>
      </c>
      <c r="C59" s="36">
        <v>0</v>
      </c>
      <c r="D59" s="4"/>
      <c r="E59" s="10"/>
      <c r="F59" s="10"/>
      <c r="H59" s="4"/>
      <c r="I59" s="4"/>
      <c r="K59" s="10"/>
      <c r="L59" s="10"/>
    </row>
    <row r="60" spans="1:34" s="18" customFormat="1">
      <c r="B60" s="39" t="s">
        <v>148</v>
      </c>
      <c r="C60" s="36">
        <v>0</v>
      </c>
      <c r="D60" s="4"/>
      <c r="E60" s="10"/>
      <c r="F60" s="10"/>
      <c r="H60" s="4"/>
      <c r="I60" s="4"/>
      <c r="K60" s="10"/>
      <c r="L60" s="10"/>
    </row>
    <row r="61" spans="1:34" s="4" customFormat="1">
      <c r="B61" s="39" t="s">
        <v>149</v>
      </c>
      <c r="C61" s="36">
        <v>0</v>
      </c>
      <c r="E61" s="10"/>
      <c r="F61" s="10"/>
      <c r="G61" s="18"/>
      <c r="J61" s="18"/>
      <c r="K61" s="10"/>
      <c r="L61" s="10"/>
    </row>
    <row r="62" spans="1:34" s="4" customFormat="1">
      <c r="B62" s="39" t="s">
        <v>150</v>
      </c>
      <c r="C62" s="36">
        <v>0</v>
      </c>
      <c r="E62" s="10"/>
      <c r="F62" s="10"/>
      <c r="G62" s="18"/>
      <c r="K62" s="10"/>
      <c r="L62" s="10"/>
    </row>
    <row r="63" spans="1:34" s="4" customFormat="1">
      <c r="E63" s="10"/>
      <c r="F63" s="10"/>
      <c r="K63" s="10"/>
      <c r="L63" s="10"/>
    </row>
    <row r="64" spans="1:34" s="4" customFormat="1">
      <c r="E64" s="10"/>
      <c r="F64" s="10"/>
      <c r="K64" s="10"/>
      <c r="L64" s="10"/>
    </row>
    <row r="65" spans="5:17" s="4" customFormat="1">
      <c r="E65" s="10"/>
      <c r="F65" s="10"/>
      <c r="K65" s="10"/>
      <c r="L65" s="10"/>
    </row>
    <row r="66" spans="5:17" s="4" customFormat="1">
      <c r="E66" s="10"/>
      <c r="F66" s="10"/>
      <c r="K66" s="10"/>
      <c r="L66" s="10"/>
    </row>
    <row r="67" spans="5:17" s="4" customFormat="1" ht="15" customHeight="1">
      <c r="E67" s="10"/>
      <c r="F67" s="10"/>
      <c r="K67" s="10"/>
      <c r="L67" s="10"/>
    </row>
    <row r="68" spans="5:17" s="4" customFormat="1" ht="15" customHeight="1">
      <c r="E68" s="10"/>
      <c r="F68" s="10"/>
      <c r="K68" s="10"/>
      <c r="L68" s="10"/>
    </row>
    <row r="69" spans="5:17" s="4" customFormat="1" ht="15" customHeight="1">
      <c r="E69" s="10"/>
      <c r="F69" s="10"/>
      <c r="K69" s="10"/>
      <c r="L69" s="10"/>
      <c r="O69" s="5"/>
      <c r="P69" s="10"/>
      <c r="Q69" s="10"/>
    </row>
    <row r="70" spans="5:17" s="4" customFormat="1" ht="15" customHeight="1">
      <c r="E70" s="10"/>
      <c r="F70" s="10"/>
      <c r="K70" s="10"/>
      <c r="L70" s="10"/>
      <c r="O70" s="5"/>
      <c r="P70" s="10"/>
      <c r="Q70" s="10"/>
    </row>
    <row r="71" spans="5:17" s="4" customFormat="1" ht="15" customHeight="1">
      <c r="E71" s="10"/>
      <c r="F71" s="10"/>
      <c r="K71" s="10"/>
      <c r="L71" s="10"/>
      <c r="O71" s="5"/>
      <c r="P71" s="10"/>
      <c r="Q71" s="10"/>
    </row>
    <row r="72" spans="5:17" s="4" customFormat="1" ht="15" customHeight="1">
      <c r="E72" s="10"/>
      <c r="F72" s="10"/>
      <c r="K72" s="10"/>
      <c r="L72" s="10"/>
      <c r="O72" s="5"/>
      <c r="P72" s="10"/>
      <c r="Q72" s="10"/>
    </row>
    <row r="73" spans="5:17" s="4" customFormat="1" ht="15" customHeight="1">
      <c r="E73" s="10"/>
      <c r="F73" s="10"/>
      <c r="K73" s="10"/>
      <c r="L73" s="10"/>
      <c r="O73" s="5"/>
      <c r="P73" s="10"/>
      <c r="Q73" s="10"/>
    </row>
    <row r="74" spans="5:17" s="4" customFormat="1" ht="15" customHeight="1">
      <c r="E74" s="10"/>
      <c r="F74" s="10"/>
      <c r="K74" s="10"/>
      <c r="L74" s="10"/>
      <c r="O74" s="5"/>
      <c r="P74" s="10"/>
      <c r="Q74" s="10"/>
    </row>
    <row r="75" spans="5:17" s="4" customFormat="1" ht="15" customHeight="1">
      <c r="E75" s="10"/>
      <c r="F75" s="10"/>
      <c r="K75" s="10"/>
      <c r="L75" s="10"/>
      <c r="O75" s="5"/>
      <c r="P75" s="10"/>
      <c r="Q75" s="10"/>
    </row>
    <row r="76" spans="5:17" s="4" customFormat="1" ht="15" customHeight="1">
      <c r="E76" s="10"/>
      <c r="F76" s="10"/>
      <c r="K76" s="10"/>
      <c r="L76" s="10"/>
      <c r="O76" s="5"/>
      <c r="P76" s="10"/>
      <c r="Q76" s="10"/>
    </row>
    <row r="77" spans="5:17" s="4" customFormat="1" ht="15" customHeight="1">
      <c r="E77" s="10"/>
      <c r="F77" s="10"/>
      <c r="K77" s="10"/>
      <c r="L77" s="10"/>
      <c r="O77" s="5"/>
      <c r="P77" s="10"/>
      <c r="Q77" s="10"/>
    </row>
    <row r="78" spans="5:17" s="4" customFormat="1" ht="15" customHeight="1">
      <c r="E78" s="10"/>
      <c r="F78" s="10"/>
      <c r="K78" s="10"/>
      <c r="L78" s="10"/>
      <c r="O78" s="5"/>
      <c r="P78" s="10"/>
      <c r="Q78" s="10"/>
    </row>
    <row r="79" spans="5:17" s="4" customFormat="1" ht="15" customHeight="1">
      <c r="E79" s="10"/>
      <c r="F79" s="10"/>
      <c r="K79" s="10"/>
      <c r="L79" s="10"/>
      <c r="O79" s="5"/>
      <c r="P79" s="10"/>
      <c r="Q79" s="10"/>
    </row>
    <row r="80" spans="5:17" s="4" customFormat="1" ht="15" customHeight="1">
      <c r="E80" s="10"/>
      <c r="F80" s="10"/>
      <c r="K80" s="10"/>
      <c r="L80" s="10"/>
      <c r="O80" s="5"/>
      <c r="P80" s="10"/>
      <c r="Q80" s="10"/>
    </row>
    <row r="81" spans="5:17" s="4" customFormat="1" ht="15" customHeight="1">
      <c r="E81" s="10"/>
      <c r="F81" s="10"/>
      <c r="K81" s="10"/>
      <c r="L81" s="10"/>
      <c r="O81" s="5"/>
      <c r="P81" s="10"/>
      <c r="Q81" s="10"/>
    </row>
    <row r="82" spans="5:17" s="4" customFormat="1" ht="15" customHeight="1">
      <c r="E82" s="10"/>
      <c r="F82" s="10"/>
      <c r="K82" s="10"/>
      <c r="L82" s="10"/>
      <c r="O82" s="5"/>
      <c r="P82" s="10"/>
      <c r="Q82" s="10"/>
    </row>
    <row r="83" spans="5:17" s="4" customFormat="1" ht="15" customHeight="1">
      <c r="E83" s="10"/>
      <c r="F83" s="10"/>
      <c r="K83" s="10"/>
      <c r="L83" s="10"/>
      <c r="O83" s="5"/>
      <c r="P83" s="10"/>
      <c r="Q83" s="10"/>
    </row>
    <row r="84" spans="5:17" s="4" customFormat="1" ht="15" customHeight="1">
      <c r="E84" s="10"/>
      <c r="F84" s="10"/>
      <c r="K84" s="10"/>
      <c r="L84" s="10"/>
      <c r="O84" s="5"/>
      <c r="P84" s="10"/>
      <c r="Q84" s="10"/>
    </row>
    <row r="85" spans="5:17" s="4" customFormat="1" ht="15" customHeight="1">
      <c r="E85" s="10"/>
      <c r="F85" s="10"/>
      <c r="K85" s="10"/>
      <c r="L85" s="10"/>
      <c r="O85" s="5"/>
      <c r="P85" s="10"/>
      <c r="Q85" s="10"/>
    </row>
    <row r="86" spans="5:17" s="4" customFormat="1" ht="15" customHeight="1">
      <c r="E86" s="10"/>
      <c r="F86" s="10"/>
      <c r="K86" s="10"/>
      <c r="L86" s="10"/>
      <c r="O86" s="5"/>
      <c r="P86" s="10"/>
      <c r="Q86" s="10"/>
    </row>
    <row r="87" spans="5:17" s="4" customFormat="1" ht="15" customHeight="1">
      <c r="E87" s="10"/>
      <c r="F87" s="10"/>
      <c r="K87" s="10"/>
      <c r="L87" s="10"/>
      <c r="O87" s="5"/>
      <c r="P87" s="10"/>
      <c r="Q87" s="10"/>
    </row>
    <row r="88" spans="5:17" s="4" customFormat="1" ht="15" customHeight="1">
      <c r="E88" s="10"/>
      <c r="F88" s="10"/>
      <c r="K88" s="10"/>
      <c r="L88" s="10"/>
      <c r="O88" s="5"/>
      <c r="P88" s="10"/>
      <c r="Q88" s="10"/>
    </row>
    <row r="89" spans="5:17" s="4" customFormat="1" ht="15" customHeight="1">
      <c r="E89" s="10"/>
      <c r="F89" s="10"/>
      <c r="K89" s="10"/>
      <c r="L89" s="10"/>
      <c r="O89" s="5"/>
      <c r="P89" s="10"/>
      <c r="Q89" s="10"/>
    </row>
    <row r="90" spans="5:17" s="4" customFormat="1" ht="15" customHeight="1">
      <c r="E90" s="10"/>
      <c r="F90" s="10"/>
      <c r="K90" s="10"/>
      <c r="L90" s="10"/>
      <c r="O90" s="5"/>
      <c r="P90" s="10"/>
      <c r="Q90" s="10"/>
    </row>
    <row r="91" spans="5:17" s="4" customFormat="1" ht="15" customHeight="1">
      <c r="E91" s="10"/>
      <c r="F91" s="10"/>
      <c r="K91" s="10"/>
      <c r="L91" s="10"/>
      <c r="O91" s="5"/>
      <c r="P91" s="10"/>
      <c r="Q91" s="10"/>
    </row>
    <row r="92" spans="5:17" s="4" customFormat="1" ht="15" customHeight="1">
      <c r="E92" s="10"/>
      <c r="F92" s="10"/>
      <c r="K92" s="10"/>
      <c r="L92" s="10"/>
      <c r="O92" s="5"/>
      <c r="P92" s="10"/>
      <c r="Q92" s="10"/>
    </row>
    <row r="93" spans="5:17" s="4" customFormat="1" ht="15" customHeight="1">
      <c r="E93" s="10"/>
      <c r="F93" s="10"/>
      <c r="K93" s="10"/>
      <c r="L93" s="10"/>
      <c r="O93" s="5"/>
      <c r="P93" s="10"/>
      <c r="Q93" s="10"/>
    </row>
    <row r="94" spans="5:17" s="4" customFormat="1" ht="15" customHeight="1">
      <c r="E94" s="10"/>
      <c r="F94" s="10"/>
      <c r="K94" s="10"/>
      <c r="L94" s="10"/>
      <c r="O94" s="5"/>
      <c r="P94" s="10"/>
      <c r="Q94" s="10"/>
    </row>
    <row r="95" spans="5:17" s="4" customFormat="1" ht="15" customHeight="1">
      <c r="E95" s="10"/>
      <c r="F95" s="10"/>
      <c r="K95" s="10"/>
      <c r="L95" s="10"/>
      <c r="O95" s="5"/>
      <c r="P95" s="10"/>
      <c r="Q95" s="10"/>
    </row>
    <row r="96" spans="5:17" s="4" customFormat="1" ht="15" customHeight="1">
      <c r="E96" s="10"/>
      <c r="F96" s="10"/>
      <c r="K96" s="10"/>
      <c r="L96" s="10"/>
      <c r="O96" s="5"/>
      <c r="P96" s="10"/>
      <c r="Q96" s="10"/>
    </row>
    <row r="97" spans="2:17" s="4" customFormat="1" ht="15" customHeight="1">
      <c r="E97" s="10"/>
      <c r="F97" s="10"/>
      <c r="K97" s="10"/>
      <c r="L97" s="10"/>
      <c r="O97" s="5"/>
      <c r="P97" s="10"/>
      <c r="Q97" s="10"/>
    </row>
    <row r="98" spans="2:17" s="4" customFormat="1" ht="15" customHeight="1">
      <c r="E98" s="10"/>
      <c r="F98" s="10"/>
      <c r="K98" s="10"/>
      <c r="L98" s="10"/>
      <c r="O98" s="5"/>
      <c r="P98" s="10"/>
      <c r="Q98" s="10"/>
    </row>
    <row r="99" spans="2:17" s="4" customFormat="1" ht="15" customHeight="1">
      <c r="E99" s="10"/>
      <c r="F99" s="10"/>
      <c r="K99" s="10"/>
      <c r="L99" s="10"/>
      <c r="O99" s="5"/>
      <c r="P99" s="10"/>
      <c r="Q99" s="10"/>
    </row>
    <row r="100" spans="2:17" s="4" customFormat="1" ht="15" customHeight="1">
      <c r="E100" s="10"/>
      <c r="F100" s="10"/>
      <c r="K100" s="10"/>
      <c r="L100" s="10"/>
      <c r="O100" s="5"/>
      <c r="P100" s="10"/>
      <c r="Q100" s="10"/>
    </row>
    <row r="101" spans="2:17" s="4" customFormat="1" ht="15" customHeight="1">
      <c r="E101" s="10"/>
      <c r="F101" s="10"/>
      <c r="K101" s="10"/>
      <c r="L101" s="10"/>
      <c r="O101" s="5"/>
      <c r="P101" s="10"/>
      <c r="Q101" s="10"/>
    </row>
    <row r="102" spans="2:17" s="4" customFormat="1" ht="15" customHeight="1">
      <c r="E102" s="10"/>
      <c r="F102" s="10"/>
      <c r="K102" s="10"/>
      <c r="L102" s="10"/>
      <c r="O102" s="5"/>
      <c r="P102" s="10"/>
      <c r="Q102" s="10"/>
    </row>
    <row r="103" spans="2:17" s="4" customFormat="1" ht="15" customHeight="1">
      <c r="E103" s="10"/>
      <c r="F103" s="10"/>
      <c r="K103" s="10"/>
      <c r="L103" s="10"/>
      <c r="O103" s="5"/>
      <c r="P103" s="10"/>
      <c r="Q103" s="10"/>
    </row>
    <row r="104" spans="2:17" s="4" customFormat="1" ht="15" customHeight="1">
      <c r="E104" s="10"/>
      <c r="F104" s="10"/>
      <c r="K104" s="10"/>
      <c r="L104" s="10"/>
      <c r="O104" s="5"/>
      <c r="P104" s="10"/>
      <c r="Q104" s="10"/>
    </row>
    <row r="105" spans="2:17" s="4" customFormat="1" ht="15" customHeight="1">
      <c r="B105" s="5"/>
      <c r="C105" s="5"/>
      <c r="E105" s="10"/>
      <c r="F105" s="10"/>
      <c r="K105" s="10"/>
      <c r="L105" s="10"/>
      <c r="O105" s="5"/>
      <c r="P105" s="10"/>
      <c r="Q105" s="10"/>
    </row>
    <row r="106" spans="2:17" s="4" customFormat="1" ht="15" customHeight="1">
      <c r="B106" s="5"/>
      <c r="C106" s="5"/>
      <c r="E106" s="10"/>
      <c r="F106" s="10"/>
      <c r="K106" s="10"/>
      <c r="L106" s="10"/>
      <c r="O106" s="5"/>
      <c r="P106" s="10"/>
      <c r="Q106" s="10"/>
    </row>
    <row r="107" spans="2:17" s="4" customFormat="1" ht="15" customHeight="1">
      <c r="B107" s="5"/>
      <c r="C107" s="5"/>
      <c r="E107" s="19"/>
      <c r="F107" s="19"/>
      <c r="H107" s="5"/>
      <c r="I107" s="5"/>
      <c r="K107" s="10"/>
      <c r="L107" s="10"/>
      <c r="O107" s="5"/>
      <c r="P107" s="10"/>
      <c r="Q107" s="10"/>
    </row>
    <row r="108" spans="2:17" s="4" customFormat="1" ht="15" customHeight="1">
      <c r="B108" s="5"/>
      <c r="C108" s="5"/>
      <c r="E108" s="19"/>
      <c r="F108" s="19"/>
      <c r="H108" s="5"/>
      <c r="I108" s="5"/>
      <c r="K108" s="10"/>
      <c r="L108" s="10"/>
      <c r="O108" s="5"/>
      <c r="P108" s="10"/>
      <c r="Q108" s="10"/>
    </row>
    <row r="109" spans="2:17" s="4" customFormat="1" ht="15" customHeight="1">
      <c r="B109" s="5"/>
      <c r="C109" s="5"/>
      <c r="E109" s="19"/>
      <c r="F109" s="19"/>
      <c r="H109" s="5"/>
      <c r="I109" s="5"/>
      <c r="K109" s="10"/>
      <c r="L109" s="10"/>
      <c r="O109" s="5"/>
      <c r="P109" s="10"/>
      <c r="Q109" s="10"/>
    </row>
    <row r="110" spans="2:17" s="4" customFormat="1" ht="15" customHeight="1">
      <c r="B110" s="5"/>
      <c r="C110" s="5"/>
      <c r="E110" s="19"/>
      <c r="F110" s="19"/>
      <c r="H110" s="5"/>
      <c r="I110" s="5"/>
      <c r="K110" s="10"/>
      <c r="L110" s="10"/>
      <c r="O110" s="5"/>
      <c r="P110" s="10"/>
      <c r="Q110" s="10"/>
    </row>
    <row r="111" spans="2:17" s="4" customFormat="1" ht="15" customHeight="1">
      <c r="B111" s="5"/>
      <c r="C111" s="5"/>
      <c r="E111" s="19"/>
      <c r="F111" s="19"/>
      <c r="H111" s="5"/>
      <c r="I111" s="5"/>
      <c r="K111" s="10"/>
      <c r="L111" s="10"/>
      <c r="O111" s="5"/>
      <c r="P111" s="10"/>
      <c r="Q111" s="10"/>
    </row>
    <row r="112" spans="2:17" s="4" customFormat="1" ht="15" customHeight="1">
      <c r="B112" s="5"/>
      <c r="C112" s="5"/>
      <c r="E112" s="19"/>
      <c r="F112" s="19"/>
      <c r="H112" s="5"/>
      <c r="I112" s="5"/>
      <c r="K112" s="10"/>
      <c r="L112" s="10"/>
      <c r="O112" s="5"/>
      <c r="P112" s="10"/>
      <c r="Q112" s="10"/>
    </row>
    <row r="113" spans="2:17" s="4" customFormat="1" ht="15" customHeight="1">
      <c r="B113" s="5"/>
      <c r="C113" s="5"/>
      <c r="E113" s="19"/>
      <c r="F113" s="19"/>
      <c r="H113" s="5"/>
      <c r="I113" s="5"/>
      <c r="K113" s="10"/>
      <c r="L113" s="10"/>
      <c r="O113" s="5"/>
      <c r="P113" s="10"/>
      <c r="Q113" s="10"/>
    </row>
    <row r="114" spans="2:17" s="4" customFormat="1" ht="15" customHeight="1">
      <c r="B114" s="5"/>
      <c r="C114" s="5"/>
      <c r="E114" s="19"/>
      <c r="F114" s="19"/>
      <c r="H114" s="5"/>
      <c r="I114" s="5"/>
      <c r="K114" s="10"/>
      <c r="L114" s="10"/>
      <c r="O114" s="5"/>
      <c r="P114" s="10"/>
      <c r="Q114" s="10"/>
    </row>
    <row r="115" spans="2:17" s="4" customFormat="1" ht="15" customHeight="1">
      <c r="B115" s="5"/>
      <c r="C115" s="5"/>
      <c r="E115" s="19"/>
      <c r="F115" s="19"/>
      <c r="H115" s="5"/>
      <c r="I115" s="5"/>
      <c r="K115" s="10"/>
      <c r="L115" s="10"/>
      <c r="O115" s="5"/>
      <c r="P115" s="10"/>
      <c r="Q115" s="10"/>
    </row>
    <row r="116" spans="2:17" s="4" customFormat="1" ht="15" customHeight="1">
      <c r="B116" s="5"/>
      <c r="C116" s="5"/>
      <c r="E116" s="19"/>
      <c r="F116" s="19"/>
      <c r="H116" s="5"/>
      <c r="I116" s="5"/>
      <c r="K116" s="10"/>
      <c r="L116" s="10"/>
      <c r="O116" s="5"/>
      <c r="P116" s="10"/>
      <c r="Q116" s="10"/>
    </row>
    <row r="117" spans="2:17" s="4" customFormat="1" ht="15" customHeight="1">
      <c r="B117" s="5"/>
      <c r="C117" s="5"/>
      <c r="E117" s="19"/>
      <c r="F117" s="19"/>
      <c r="H117" s="5"/>
      <c r="I117" s="5"/>
      <c r="K117" s="10"/>
      <c r="L117" s="10"/>
      <c r="O117" s="5"/>
      <c r="P117" s="10"/>
      <c r="Q117" s="10"/>
    </row>
    <row r="118" spans="2:17" s="4" customFormat="1" ht="15" customHeight="1">
      <c r="B118" s="5"/>
      <c r="C118" s="5"/>
      <c r="E118" s="19"/>
      <c r="F118" s="19"/>
      <c r="H118" s="5"/>
      <c r="I118" s="5"/>
      <c r="K118" s="10"/>
      <c r="L118" s="10"/>
      <c r="O118" s="5"/>
      <c r="P118" s="10"/>
      <c r="Q118" s="10"/>
    </row>
    <row r="119" spans="2:17" s="4" customFormat="1" ht="15" customHeight="1">
      <c r="B119" s="5"/>
      <c r="C119" s="5"/>
      <c r="E119" s="19"/>
      <c r="F119" s="19"/>
      <c r="H119" s="5"/>
      <c r="I119" s="5"/>
      <c r="K119" s="10"/>
      <c r="L119" s="10"/>
      <c r="O119" s="5"/>
      <c r="P119" s="10"/>
      <c r="Q119" s="10"/>
    </row>
    <row r="120" spans="2:17" s="4" customFormat="1" ht="15" customHeight="1">
      <c r="B120" s="5"/>
      <c r="C120" s="5"/>
      <c r="E120" s="19"/>
      <c r="F120" s="19"/>
      <c r="H120" s="5"/>
      <c r="I120" s="5"/>
      <c r="K120" s="10"/>
      <c r="L120" s="10"/>
      <c r="O120" s="5"/>
      <c r="P120" s="10"/>
      <c r="Q120" s="10"/>
    </row>
    <row r="121" spans="2:17" s="4" customFormat="1" ht="15" customHeight="1">
      <c r="B121" s="5"/>
      <c r="C121" s="5"/>
      <c r="E121" s="19"/>
      <c r="F121" s="19"/>
      <c r="H121" s="5"/>
      <c r="I121" s="5"/>
      <c r="K121" s="10"/>
      <c r="L121" s="10"/>
      <c r="O121" s="5"/>
      <c r="P121" s="10"/>
      <c r="Q121" s="10"/>
    </row>
    <row r="122" spans="2:17" s="4" customFormat="1" ht="15" customHeight="1">
      <c r="B122" s="5"/>
      <c r="C122" s="5"/>
      <c r="E122" s="19"/>
      <c r="F122" s="19"/>
      <c r="H122" s="5"/>
      <c r="I122" s="5"/>
      <c r="K122" s="10"/>
      <c r="L122" s="10"/>
      <c r="O122" s="5"/>
      <c r="P122" s="10"/>
      <c r="Q122" s="10"/>
    </row>
    <row r="123" spans="2:17" s="4" customFormat="1" ht="15" customHeight="1">
      <c r="B123" s="5"/>
      <c r="C123" s="5"/>
      <c r="E123" s="19"/>
      <c r="F123" s="19"/>
      <c r="H123" s="5"/>
      <c r="I123" s="5"/>
      <c r="K123" s="10"/>
      <c r="L123" s="10"/>
      <c r="O123" s="5"/>
      <c r="P123" s="10"/>
      <c r="Q123" s="10"/>
    </row>
    <row r="124" spans="2:17" s="4" customFormat="1" ht="15" customHeight="1">
      <c r="B124" s="5"/>
      <c r="C124" s="5"/>
      <c r="E124" s="19"/>
      <c r="F124" s="19"/>
      <c r="H124" s="5"/>
      <c r="I124" s="5"/>
      <c r="K124" s="10"/>
      <c r="L124" s="19"/>
      <c r="O124" s="5"/>
      <c r="P124" s="10"/>
      <c r="Q124" s="10"/>
    </row>
    <row r="125" spans="2:17" s="4" customFormat="1" ht="15" customHeight="1">
      <c r="B125" s="5"/>
      <c r="C125" s="5"/>
      <c r="E125" s="19"/>
      <c r="F125" s="19"/>
      <c r="H125" s="5"/>
      <c r="I125" s="5"/>
      <c r="K125" s="10"/>
      <c r="L125" s="19"/>
      <c r="O125" s="5"/>
      <c r="P125" s="10"/>
      <c r="Q125" s="10"/>
    </row>
    <row r="126" spans="2:17" s="4" customFormat="1" ht="15" customHeight="1">
      <c r="B126" s="5"/>
      <c r="C126" s="5"/>
      <c r="E126" s="19"/>
      <c r="F126" s="19"/>
      <c r="H126" s="5"/>
      <c r="I126" s="5"/>
      <c r="K126" s="19"/>
      <c r="L126" s="19"/>
      <c r="O126" s="5"/>
      <c r="P126" s="10"/>
      <c r="Q126" s="10"/>
    </row>
    <row r="127" spans="2:17" s="4" customFormat="1" ht="15" customHeight="1">
      <c r="B127" s="5"/>
      <c r="C127" s="5"/>
      <c r="E127" s="19"/>
      <c r="F127" s="19"/>
      <c r="H127" s="5"/>
      <c r="I127" s="5"/>
      <c r="K127" s="19"/>
      <c r="L127" s="19"/>
      <c r="O127" s="5"/>
      <c r="P127" s="10"/>
      <c r="Q127" s="10"/>
    </row>
    <row r="128" spans="2:17" s="4" customFormat="1" ht="15" customHeight="1">
      <c r="B128" s="5"/>
      <c r="C128" s="5"/>
      <c r="D128" s="5"/>
      <c r="E128" s="19"/>
      <c r="F128" s="19"/>
      <c r="H128" s="5"/>
      <c r="I128" s="5"/>
      <c r="K128" s="19"/>
      <c r="L128" s="19"/>
      <c r="O128" s="5"/>
      <c r="P128" s="10"/>
      <c r="Q128" s="10"/>
    </row>
    <row r="129" spans="2:19" s="4" customFormat="1" ht="15" customHeight="1">
      <c r="B129" s="5"/>
      <c r="C129" s="5"/>
      <c r="D129" s="5"/>
      <c r="E129" s="19"/>
      <c r="F129" s="19"/>
      <c r="H129" s="5"/>
      <c r="I129" s="5"/>
      <c r="K129" s="19"/>
      <c r="L129" s="19"/>
      <c r="O129" s="5"/>
      <c r="P129" s="10"/>
      <c r="Q129" s="10"/>
    </row>
    <row r="130" spans="2:19" s="4" customFormat="1" ht="15" customHeight="1">
      <c r="B130" s="5"/>
      <c r="C130" s="5"/>
      <c r="D130" s="5"/>
      <c r="E130" s="19"/>
      <c r="F130" s="19"/>
      <c r="H130" s="5"/>
      <c r="I130" s="5"/>
      <c r="J130" s="5"/>
      <c r="K130" s="19"/>
      <c r="L130" s="19"/>
      <c r="N130" s="5"/>
      <c r="O130" s="5"/>
      <c r="P130" s="19"/>
      <c r="Q130" s="19"/>
      <c r="S130" s="5"/>
    </row>
    <row r="131" spans="2:19" s="4" customFormat="1" ht="15" customHeight="1">
      <c r="B131" s="5"/>
      <c r="C131" s="5"/>
      <c r="D131" s="5"/>
      <c r="E131" s="19"/>
      <c r="F131" s="19"/>
      <c r="H131" s="5"/>
      <c r="I131" s="5"/>
      <c r="J131" s="5"/>
      <c r="K131" s="19"/>
      <c r="L131" s="19"/>
      <c r="N131" s="5"/>
      <c r="O131" s="5"/>
      <c r="P131" s="19"/>
      <c r="Q131" s="19"/>
      <c r="S131" s="5"/>
    </row>
  </sheetData>
  <mergeCells count="15">
    <mergeCell ref="I2:K2"/>
    <mergeCell ref="B1:F1"/>
    <mergeCell ref="I1:L1"/>
    <mergeCell ref="B2:C7"/>
    <mergeCell ref="K40:L40"/>
    <mergeCell ref="B8:C16"/>
    <mergeCell ref="B17:C23"/>
    <mergeCell ref="B24:C27"/>
    <mergeCell ref="D27:D28"/>
    <mergeCell ref="B28:C28"/>
    <mergeCell ref="B30:F30"/>
    <mergeCell ref="B39:C39"/>
    <mergeCell ref="E39:F39"/>
    <mergeCell ref="H40:I40"/>
    <mergeCell ref="I10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9FBE-88F7-43F4-B6C6-369D10B09720}">
  <dimension ref="A1:AK127"/>
  <sheetViews>
    <sheetView tabSelected="1" topLeftCell="F1" zoomScale="70" zoomScaleNormal="70" workbookViewId="0">
      <selection activeCell="T13" sqref="T13"/>
    </sheetView>
  </sheetViews>
  <sheetFormatPr defaultColWidth="9.140625" defaultRowHeight="15" customHeight="1"/>
  <cols>
    <col min="1" max="1" width="9.140625" style="4"/>
    <col min="2" max="2" width="21" style="5" customWidth="1"/>
    <col min="3" max="3" width="19.7109375" style="5" customWidth="1"/>
    <col min="4" max="4" width="23" style="5" customWidth="1"/>
    <col min="5" max="10" width="20.7109375" style="19" customWidth="1"/>
    <col min="11" max="11" width="5.140625" style="4" customWidth="1"/>
    <col min="12" max="13" width="19.7109375" style="5" customWidth="1"/>
    <col min="14" max="14" width="18.7109375" style="5" customWidth="1"/>
    <col min="15" max="15" width="21.28515625" style="19" customWidth="1"/>
    <col min="16" max="16" width="19.7109375" style="19" customWidth="1"/>
    <col min="17" max="17" width="14.5703125" style="4" customWidth="1"/>
    <col min="18" max="18" width="14.5703125" style="5" customWidth="1"/>
    <col min="19" max="20" width="14.5703125" style="19" customWidth="1"/>
    <col min="21" max="21" width="14.5703125" style="4" customWidth="1"/>
    <col min="22" max="22" width="14.5703125" style="5" customWidth="1"/>
    <col min="23" max="27" width="16.7109375" style="5" customWidth="1"/>
    <col min="28" max="28" width="16.7109375" style="4" customWidth="1"/>
    <col min="29" max="37" width="9.140625" style="4"/>
    <col min="38" max="16384" width="9.140625" style="5"/>
  </cols>
  <sheetData>
    <row r="1" spans="2:37" s="4" customFormat="1" ht="39" customHeight="1">
      <c r="B1" s="67" t="s">
        <v>0</v>
      </c>
      <c r="C1" s="67"/>
      <c r="D1" s="67"/>
      <c r="E1" s="67"/>
      <c r="F1" s="67"/>
      <c r="G1" s="67"/>
      <c r="H1" s="67"/>
      <c r="I1" s="67"/>
    </row>
    <row r="2" spans="2:37" ht="18" customHeight="1">
      <c r="B2" s="70" t="s">
        <v>2</v>
      </c>
      <c r="C2" s="71"/>
      <c r="D2" s="22" t="s">
        <v>3</v>
      </c>
      <c r="E2" s="21" t="s">
        <v>4</v>
      </c>
      <c r="F2" s="21" t="s">
        <v>151</v>
      </c>
      <c r="G2" s="21" t="s">
        <v>26</v>
      </c>
      <c r="H2" s="21" t="s">
        <v>28</v>
      </c>
      <c r="I2" s="21" t="s">
        <v>152</v>
      </c>
      <c r="J2" s="4"/>
      <c r="L2" s="76" t="s">
        <v>7</v>
      </c>
      <c r="M2" s="68"/>
      <c r="N2" s="68"/>
      <c r="O2" s="4"/>
      <c r="R2" s="64" t="s">
        <v>8</v>
      </c>
      <c r="S2" s="65" t="s">
        <v>9</v>
      </c>
      <c r="T2" s="4"/>
      <c r="V2" s="64" t="s">
        <v>10</v>
      </c>
      <c r="W2" s="65" t="s">
        <v>9</v>
      </c>
      <c r="X2" s="4"/>
      <c r="Y2" s="4"/>
      <c r="Z2" s="64" t="s">
        <v>11</v>
      </c>
      <c r="AA2" s="65" t="s">
        <v>9</v>
      </c>
      <c r="AD2" s="64" t="s">
        <v>12</v>
      </c>
      <c r="AE2" s="65" t="s">
        <v>9</v>
      </c>
      <c r="AF2" s="5"/>
      <c r="AG2" s="5"/>
      <c r="AH2" s="5"/>
      <c r="AI2" s="5"/>
      <c r="AJ2" s="5"/>
      <c r="AK2" s="5"/>
    </row>
    <row r="3" spans="2:37" ht="15.75" customHeight="1">
      <c r="B3" s="72"/>
      <c r="C3" s="73"/>
      <c r="D3" s="6" t="s">
        <v>20</v>
      </c>
      <c r="E3" s="7">
        <v>403</v>
      </c>
      <c r="F3" s="7">
        <v>403</v>
      </c>
      <c r="G3" s="7">
        <v>0</v>
      </c>
      <c r="H3" s="7">
        <v>0</v>
      </c>
      <c r="I3" s="7">
        <v>0</v>
      </c>
      <c r="J3" s="4"/>
      <c r="L3" s="26" t="s">
        <v>17</v>
      </c>
      <c r="M3" s="26" t="s">
        <v>18</v>
      </c>
      <c r="N3" s="26" t="s">
        <v>125</v>
      </c>
      <c r="O3" s="26" t="s">
        <v>16</v>
      </c>
      <c r="Q3" s="50" t="s">
        <v>19</v>
      </c>
      <c r="R3" s="66">
        <f>O4</f>
        <v>29</v>
      </c>
      <c r="S3" s="63">
        <f>R3/R5</f>
        <v>0.50877192982456143</v>
      </c>
      <c r="T3" s="4"/>
      <c r="U3" s="50" t="s">
        <v>19</v>
      </c>
      <c r="V3" s="66">
        <f>M5</f>
        <v>4</v>
      </c>
      <c r="W3" s="63">
        <f>V3/V5</f>
        <v>1</v>
      </c>
      <c r="X3" s="4"/>
      <c r="Y3" s="50" t="s">
        <v>19</v>
      </c>
      <c r="Z3" s="66">
        <f>O6</f>
        <v>3</v>
      </c>
      <c r="AA3" s="63">
        <f>Z3/Z5</f>
        <v>1</v>
      </c>
      <c r="AC3" s="50" t="s">
        <v>19</v>
      </c>
      <c r="AD3" s="66">
        <f>O7</f>
        <v>1</v>
      </c>
      <c r="AE3" s="63">
        <f>AD3/AD5</f>
        <v>1</v>
      </c>
      <c r="AF3" s="5"/>
      <c r="AG3" s="5"/>
      <c r="AH3" s="5"/>
      <c r="AI3" s="5"/>
      <c r="AJ3" s="5"/>
      <c r="AK3" s="5"/>
    </row>
    <row r="4" spans="2:37" ht="15.75" customHeight="1">
      <c r="B4" s="72"/>
      <c r="C4" s="73"/>
      <c r="D4" s="6" t="s">
        <v>21</v>
      </c>
      <c r="E4" s="7">
        <v>267</v>
      </c>
      <c r="F4" s="7">
        <v>266</v>
      </c>
      <c r="G4" s="7">
        <v>0</v>
      </c>
      <c r="H4" s="7">
        <v>0</v>
      </c>
      <c r="I4" s="7">
        <v>1</v>
      </c>
      <c r="J4" s="4"/>
      <c r="L4" s="2" t="s">
        <v>22</v>
      </c>
      <c r="M4" s="8">
        <v>26</v>
      </c>
      <c r="N4" s="8">
        <v>3</v>
      </c>
      <c r="O4" s="9">
        <f>SUM(M4:N4)</f>
        <v>29</v>
      </c>
      <c r="Q4" s="53" t="s">
        <v>23</v>
      </c>
      <c r="R4" s="33">
        <v>28</v>
      </c>
      <c r="S4" s="63">
        <f>R4/R5</f>
        <v>0.49122807017543857</v>
      </c>
      <c r="T4" s="4"/>
      <c r="U4" s="53" t="s">
        <v>23</v>
      </c>
      <c r="V4" s="33">
        <f>R13</f>
        <v>0</v>
      </c>
      <c r="W4" s="63">
        <f>V4/V5</f>
        <v>0</v>
      </c>
      <c r="X4" s="4"/>
      <c r="Y4" s="53" t="s">
        <v>23</v>
      </c>
      <c r="Z4" s="33">
        <f>R14</f>
        <v>0</v>
      </c>
      <c r="AA4" s="63">
        <f>Z4/Z5</f>
        <v>0</v>
      </c>
      <c r="AC4" s="53" t="s">
        <v>23</v>
      </c>
      <c r="AD4" s="33">
        <f>U23</f>
        <v>0</v>
      </c>
      <c r="AE4" s="63">
        <f>AD4/AD5</f>
        <v>0</v>
      </c>
      <c r="AF4" s="5"/>
      <c r="AG4" s="5"/>
      <c r="AH4" s="5"/>
      <c r="AI4" s="5"/>
      <c r="AJ4" s="5"/>
      <c r="AK4" s="5"/>
    </row>
    <row r="5" spans="2:37" ht="15.75" customHeight="1">
      <c r="B5" s="72"/>
      <c r="C5" s="73"/>
      <c r="D5" s="6" t="s">
        <v>29</v>
      </c>
      <c r="E5" s="7">
        <v>215</v>
      </c>
      <c r="F5" s="7">
        <v>213</v>
      </c>
      <c r="G5" s="7">
        <v>0</v>
      </c>
      <c r="H5" s="7">
        <v>0</v>
      </c>
      <c r="I5" s="7">
        <v>2</v>
      </c>
      <c r="J5" s="4"/>
      <c r="L5" s="2" t="s">
        <v>26</v>
      </c>
      <c r="M5" s="8">
        <v>4</v>
      </c>
      <c r="N5" s="8">
        <v>0</v>
      </c>
      <c r="O5" s="9">
        <f>SUM(M5:M5)</f>
        <v>4</v>
      </c>
      <c r="Q5" s="51" t="s">
        <v>16</v>
      </c>
      <c r="R5" s="52">
        <f>R3+R4</f>
        <v>57</v>
      </c>
      <c r="S5" s="33">
        <v>100</v>
      </c>
      <c r="T5" s="4"/>
      <c r="U5" s="51" t="s">
        <v>16</v>
      </c>
      <c r="V5" s="52">
        <f>V3+V4</f>
        <v>4</v>
      </c>
      <c r="W5" s="33">
        <v>100</v>
      </c>
      <c r="X5" s="4"/>
      <c r="Y5" s="51" t="s">
        <v>16</v>
      </c>
      <c r="Z5" s="52">
        <f>Z3+Z4</f>
        <v>3</v>
      </c>
      <c r="AA5" s="33">
        <v>100</v>
      </c>
      <c r="AC5" s="51" t="s">
        <v>16</v>
      </c>
      <c r="AD5" s="52">
        <f>AD3+AD4</f>
        <v>1</v>
      </c>
      <c r="AE5" s="33">
        <v>100</v>
      </c>
      <c r="AF5" s="5"/>
      <c r="AG5" s="5"/>
      <c r="AH5" s="5"/>
      <c r="AI5" s="5"/>
      <c r="AJ5" s="5"/>
      <c r="AK5" s="5"/>
    </row>
    <row r="6" spans="2:37" ht="15.75" customHeight="1">
      <c r="B6" s="74"/>
      <c r="C6" s="75"/>
      <c r="D6" s="24" t="s">
        <v>30</v>
      </c>
      <c r="E6" s="23">
        <f>SUM(E3:E5)</f>
        <v>885</v>
      </c>
      <c r="F6" s="23">
        <f t="shared" ref="F6:I6" si="0">SUM(F3:F5)</f>
        <v>882</v>
      </c>
      <c r="G6" s="23">
        <f t="shared" si="0"/>
        <v>0</v>
      </c>
      <c r="H6" s="23">
        <f t="shared" si="0"/>
        <v>0</v>
      </c>
      <c r="I6" s="23">
        <f t="shared" si="0"/>
        <v>3</v>
      </c>
      <c r="J6" s="4"/>
      <c r="L6" s="2" t="s">
        <v>28</v>
      </c>
      <c r="M6" s="8">
        <v>3</v>
      </c>
      <c r="N6" s="8">
        <v>0</v>
      </c>
      <c r="O6" s="9">
        <f>SUM(M6:M6)</f>
        <v>3</v>
      </c>
      <c r="P6" s="4"/>
      <c r="R6" s="4"/>
      <c r="S6" s="4"/>
      <c r="T6" s="4"/>
      <c r="V6" s="4"/>
      <c r="W6" s="4"/>
      <c r="X6" s="4"/>
      <c r="Y6" s="4"/>
      <c r="Z6" s="4"/>
      <c r="AA6" s="4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37" ht="15.75" customHeight="1">
      <c r="B7" s="70" t="s">
        <v>32</v>
      </c>
      <c r="C7" s="71"/>
      <c r="D7" s="22" t="s">
        <v>33</v>
      </c>
      <c r="E7" s="21" t="s">
        <v>4</v>
      </c>
      <c r="F7" s="21" t="s">
        <v>151</v>
      </c>
      <c r="G7" s="21" t="s">
        <v>26</v>
      </c>
      <c r="H7" s="21" t="s">
        <v>28</v>
      </c>
      <c r="I7" s="21" t="s">
        <v>152</v>
      </c>
      <c r="J7" s="4"/>
      <c r="L7" s="2" t="s">
        <v>1</v>
      </c>
      <c r="M7" s="8">
        <v>1</v>
      </c>
      <c r="N7" s="8">
        <v>0</v>
      </c>
      <c r="O7" s="9">
        <f>SUM(M7:M7)</f>
        <v>1</v>
      </c>
      <c r="P7" s="4"/>
      <c r="R7" s="4"/>
      <c r="S7" s="4"/>
      <c r="T7" s="4"/>
      <c r="V7" s="4"/>
      <c r="W7" s="4"/>
      <c r="X7" s="4"/>
      <c r="Y7" s="4"/>
      <c r="Z7" s="4"/>
      <c r="AA7" s="4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2:37" ht="15.75" customHeight="1">
      <c r="B8" s="72"/>
      <c r="C8" s="73"/>
      <c r="D8" s="6" t="s">
        <v>27</v>
      </c>
      <c r="E8" s="7">
        <v>78</v>
      </c>
      <c r="F8" s="7">
        <v>76</v>
      </c>
      <c r="G8" s="7">
        <v>0</v>
      </c>
      <c r="H8" s="7">
        <v>1</v>
      </c>
      <c r="I8" s="7">
        <v>1</v>
      </c>
      <c r="J8" s="4"/>
      <c r="L8" s="27" t="s">
        <v>31</v>
      </c>
      <c r="M8" s="27">
        <f>SUM(M4:M7)</f>
        <v>34</v>
      </c>
      <c r="N8" s="27">
        <f>SUM(N4:N7)</f>
        <v>3</v>
      </c>
      <c r="O8" s="27">
        <f>SUM(O4:O7)</f>
        <v>37</v>
      </c>
      <c r="P8" s="4"/>
      <c r="R8" s="4"/>
      <c r="S8" s="4"/>
      <c r="T8" s="4"/>
      <c r="V8" s="4"/>
      <c r="W8" s="4"/>
      <c r="X8" s="4"/>
      <c r="Y8" s="4"/>
      <c r="Z8" s="4"/>
      <c r="AA8" s="4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2:37" ht="15.75" customHeight="1">
      <c r="B9" s="72"/>
      <c r="C9" s="73"/>
      <c r="D9" s="6" t="s">
        <v>39</v>
      </c>
      <c r="E9" s="7">
        <v>805</v>
      </c>
      <c r="F9" s="7">
        <v>802</v>
      </c>
      <c r="G9" s="7">
        <v>0</v>
      </c>
      <c r="H9" s="7">
        <v>1</v>
      </c>
      <c r="I9" s="7">
        <v>2</v>
      </c>
      <c r="J9" s="4"/>
      <c r="L9" s="4"/>
      <c r="M9" s="10"/>
      <c r="N9" s="4"/>
      <c r="O9" s="4"/>
      <c r="P9" s="4"/>
      <c r="R9" s="4"/>
      <c r="S9" s="4"/>
      <c r="T9" s="4"/>
      <c r="V9" s="4"/>
      <c r="W9" s="4"/>
      <c r="X9" s="4"/>
      <c r="Y9" s="4"/>
      <c r="Z9" s="4"/>
      <c r="AA9" s="4"/>
      <c r="AF9" s="5"/>
      <c r="AG9" s="5"/>
      <c r="AH9" s="5"/>
      <c r="AI9" s="5"/>
      <c r="AJ9" s="5"/>
      <c r="AK9" s="5"/>
    </row>
    <row r="10" spans="2:37" ht="15.75" customHeight="1">
      <c r="B10" s="72"/>
      <c r="C10" s="73"/>
      <c r="D10" s="6" t="s">
        <v>36</v>
      </c>
      <c r="E10" s="7">
        <v>704</v>
      </c>
      <c r="F10" s="7">
        <v>699</v>
      </c>
      <c r="G10" s="7">
        <v>1</v>
      </c>
      <c r="H10" s="7">
        <v>3</v>
      </c>
      <c r="I10" s="7">
        <v>1</v>
      </c>
      <c r="J10" s="4"/>
      <c r="L10" s="76" t="s">
        <v>35</v>
      </c>
      <c r="M10" s="68"/>
      <c r="N10" s="68"/>
      <c r="O10" s="68"/>
      <c r="P10" s="4"/>
      <c r="R10" s="4"/>
      <c r="S10" s="4"/>
      <c r="T10" s="4"/>
      <c r="V10" s="4"/>
      <c r="W10" s="4"/>
      <c r="X10" s="4"/>
      <c r="Y10" s="4"/>
      <c r="Z10" s="4"/>
      <c r="AA10" s="4"/>
      <c r="AC10" s="5"/>
      <c r="AD10" s="5"/>
      <c r="AE10" s="5"/>
      <c r="AF10" s="5"/>
      <c r="AG10" s="5"/>
      <c r="AH10" s="5"/>
      <c r="AI10" s="5"/>
      <c r="AJ10" s="5"/>
      <c r="AK10" s="5"/>
    </row>
    <row r="11" spans="2:37" ht="15.75" customHeight="1">
      <c r="B11" s="72"/>
      <c r="C11" s="73"/>
      <c r="D11" s="6" t="s">
        <v>40</v>
      </c>
      <c r="E11" s="7">
        <v>559</v>
      </c>
      <c r="F11" s="7">
        <v>257</v>
      </c>
      <c r="G11" s="7">
        <v>0</v>
      </c>
      <c r="H11" s="7">
        <v>2</v>
      </c>
      <c r="I11" s="7">
        <v>0</v>
      </c>
      <c r="J11" s="4"/>
      <c r="L11" s="26" t="s">
        <v>17</v>
      </c>
      <c r="M11" s="26" t="s">
        <v>20</v>
      </c>
      <c r="N11" s="26" t="s">
        <v>37</v>
      </c>
      <c r="O11" s="26" t="s">
        <v>21</v>
      </c>
      <c r="P11" s="26" t="s">
        <v>16</v>
      </c>
      <c r="R11" s="4"/>
      <c r="S11" s="4"/>
      <c r="T11" s="4"/>
      <c r="V11" s="4"/>
      <c r="W11" s="4"/>
      <c r="X11" s="4"/>
      <c r="Y11" s="4"/>
      <c r="Z11" s="4"/>
      <c r="AA11" s="4"/>
      <c r="AC11" s="5"/>
      <c r="AD11" s="5"/>
      <c r="AE11" s="5"/>
      <c r="AF11" s="5"/>
      <c r="AG11" s="5"/>
      <c r="AH11" s="5"/>
      <c r="AI11" s="5"/>
      <c r="AJ11" s="5"/>
      <c r="AK11" s="5"/>
    </row>
    <row r="12" spans="2:37" ht="15.75" customHeight="1">
      <c r="B12" s="72"/>
      <c r="C12" s="73"/>
      <c r="D12" s="6" t="s">
        <v>34</v>
      </c>
      <c r="E12" s="7">
        <v>748</v>
      </c>
      <c r="F12" s="7">
        <v>744</v>
      </c>
      <c r="G12" s="7">
        <v>0</v>
      </c>
      <c r="H12" s="7">
        <v>4</v>
      </c>
      <c r="I12" s="7">
        <v>0</v>
      </c>
      <c r="J12" s="4"/>
      <c r="L12" s="11" t="s">
        <v>22</v>
      </c>
      <c r="M12" s="8">
        <v>1</v>
      </c>
      <c r="N12" s="8">
        <v>0</v>
      </c>
      <c r="O12" s="8">
        <v>4</v>
      </c>
      <c r="P12" s="8">
        <f>SUM(M12:O12)</f>
        <v>5</v>
      </c>
      <c r="R12" s="4"/>
      <c r="S12" s="4"/>
      <c r="T12" s="4"/>
      <c r="V12" s="4"/>
      <c r="W12" s="4"/>
      <c r="X12" s="4"/>
      <c r="Y12" s="4"/>
      <c r="Z12" s="4"/>
      <c r="AA12" s="4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2:37" ht="15.75" customHeight="1">
      <c r="B13" s="74"/>
      <c r="C13" s="75"/>
      <c r="D13" s="24" t="s">
        <v>30</v>
      </c>
      <c r="E13" s="23">
        <f>SUM(E8:E12)</f>
        <v>2894</v>
      </c>
      <c r="F13" s="23">
        <f t="shared" ref="F13:I13" si="1">SUM(F8:F12)</f>
        <v>2578</v>
      </c>
      <c r="G13" s="23">
        <f t="shared" si="1"/>
        <v>1</v>
      </c>
      <c r="H13" s="23">
        <f t="shared" si="1"/>
        <v>11</v>
      </c>
      <c r="I13" s="23">
        <f t="shared" si="1"/>
        <v>4</v>
      </c>
      <c r="J13" s="4"/>
      <c r="L13" s="11" t="s">
        <v>26</v>
      </c>
      <c r="M13" s="8">
        <v>0</v>
      </c>
      <c r="N13" s="8">
        <v>0</v>
      </c>
      <c r="O13" s="8">
        <v>0</v>
      </c>
      <c r="P13" s="8">
        <f t="shared" ref="P12:P13" si="2">SUM(M13:O13)</f>
        <v>0</v>
      </c>
      <c r="R13" s="4"/>
      <c r="S13" s="4"/>
      <c r="T13" s="4"/>
      <c r="V13" s="4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2:37" ht="15.75" customHeight="1">
      <c r="B14" s="70" t="s">
        <v>44</v>
      </c>
      <c r="C14" s="71"/>
      <c r="D14" s="22" t="s">
        <v>19</v>
      </c>
      <c r="E14" s="21" t="s">
        <v>4</v>
      </c>
      <c r="F14" s="21" t="s">
        <v>151</v>
      </c>
      <c r="G14" s="21" t="s">
        <v>26</v>
      </c>
      <c r="H14" s="21" t="s">
        <v>28</v>
      </c>
      <c r="I14" s="21" t="s">
        <v>152</v>
      </c>
      <c r="J14" s="4"/>
      <c r="L14" s="13" t="s">
        <v>28</v>
      </c>
      <c r="M14" s="8">
        <v>0</v>
      </c>
      <c r="N14" s="8">
        <v>0</v>
      </c>
      <c r="O14" s="8">
        <v>0</v>
      </c>
      <c r="P14" s="8">
        <f>SUM(M14:O14)</f>
        <v>0</v>
      </c>
      <c r="R14" s="4"/>
      <c r="S14" s="4"/>
      <c r="T14" s="4"/>
      <c r="V14" s="4"/>
      <c r="W14" s="4"/>
      <c r="X14" s="4"/>
      <c r="Y14" s="4"/>
      <c r="Z14" s="4"/>
      <c r="AA14" s="4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2:37" ht="15.75" customHeight="1">
      <c r="B15" s="72"/>
      <c r="C15" s="73"/>
      <c r="D15" s="14" t="s">
        <v>49</v>
      </c>
      <c r="E15" s="7">
        <v>57</v>
      </c>
      <c r="F15" s="7">
        <v>57</v>
      </c>
      <c r="G15" s="7">
        <v>0</v>
      </c>
      <c r="H15" s="7">
        <v>0</v>
      </c>
      <c r="I15" s="7">
        <v>0</v>
      </c>
      <c r="J15" s="4"/>
      <c r="L15" s="13" t="s">
        <v>1</v>
      </c>
      <c r="M15" s="8">
        <v>0</v>
      </c>
      <c r="N15" s="8">
        <v>1</v>
      </c>
      <c r="O15" s="8">
        <v>2</v>
      </c>
      <c r="P15" s="8">
        <f>SUM(M15:O15)</f>
        <v>3</v>
      </c>
      <c r="R15" s="4"/>
      <c r="S15" s="4"/>
      <c r="T15" s="4"/>
      <c r="V15" s="4"/>
      <c r="W15" s="4"/>
      <c r="X15" s="4"/>
      <c r="Y15" s="4"/>
      <c r="Z15" s="4"/>
      <c r="AA15" s="4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2:37" ht="15.75" customHeight="1">
      <c r="B16" s="72"/>
      <c r="C16" s="73"/>
      <c r="D16" s="14" t="s">
        <v>46</v>
      </c>
      <c r="E16" s="7">
        <v>1622</v>
      </c>
      <c r="F16" s="7">
        <v>1612</v>
      </c>
      <c r="G16" s="7">
        <v>1</v>
      </c>
      <c r="H16" s="7">
        <v>8</v>
      </c>
      <c r="I16" s="7">
        <v>1</v>
      </c>
      <c r="J16" s="4"/>
      <c r="L16" s="27" t="s">
        <v>31</v>
      </c>
      <c r="M16" s="27">
        <f>SUM(M12:M15)</f>
        <v>1</v>
      </c>
      <c r="N16" s="27">
        <f>SUM(N12:N15)</f>
        <v>1</v>
      </c>
      <c r="O16" s="27">
        <f>SUM(O12:O15)</f>
        <v>6</v>
      </c>
      <c r="P16" s="27">
        <f>SUM(P12:P15)</f>
        <v>8</v>
      </c>
      <c r="R16" s="4"/>
      <c r="S16" s="4"/>
      <c r="T16" s="4"/>
      <c r="V16" s="4"/>
      <c r="W16" s="4"/>
      <c r="X16" s="4"/>
      <c r="Y16" s="4"/>
      <c r="Z16" s="4"/>
      <c r="AA16" s="4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2:37" ht="15.75" customHeight="1">
      <c r="B17" s="72"/>
      <c r="C17" s="73"/>
      <c r="D17" s="14" t="s">
        <v>132</v>
      </c>
      <c r="E17" s="7">
        <v>1</v>
      </c>
      <c r="F17" s="7">
        <v>1</v>
      </c>
      <c r="G17" s="7">
        <v>0</v>
      </c>
      <c r="H17" s="7">
        <v>0</v>
      </c>
      <c r="I17" s="7">
        <v>0</v>
      </c>
      <c r="J17" s="4"/>
      <c r="L17" s="19"/>
      <c r="M17" s="4"/>
      <c r="P17" s="4"/>
      <c r="R17" s="4"/>
      <c r="S17" s="4"/>
      <c r="T17" s="4"/>
      <c r="V17" s="4"/>
      <c r="W17" s="4"/>
      <c r="X17" s="4"/>
      <c r="Y17" s="4"/>
      <c r="Z17" s="4"/>
      <c r="AA17" s="4"/>
      <c r="AE17" s="5"/>
      <c r="AF17" s="5"/>
      <c r="AG17" s="5"/>
      <c r="AH17" s="5"/>
      <c r="AI17" s="5"/>
      <c r="AJ17" s="5"/>
      <c r="AK17" s="5"/>
    </row>
    <row r="18" spans="2:37" ht="15.75" customHeight="1">
      <c r="B18" s="72"/>
      <c r="C18" s="73"/>
      <c r="D18" s="6" t="s">
        <v>50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4"/>
      <c r="L18" s="76" t="s">
        <v>45</v>
      </c>
      <c r="M18" s="68"/>
      <c r="N18" s="68"/>
      <c r="R18" s="4"/>
      <c r="S18" s="4"/>
      <c r="T18" s="4"/>
      <c r="V18" s="4"/>
      <c r="W18" s="4"/>
      <c r="X18" s="4"/>
      <c r="Y18" s="4"/>
      <c r="Z18" s="4"/>
      <c r="AA18" s="4"/>
      <c r="AE18" s="5"/>
      <c r="AF18" s="5"/>
      <c r="AG18" s="5"/>
      <c r="AH18" s="5"/>
      <c r="AI18" s="5"/>
      <c r="AJ18" s="5"/>
      <c r="AK18" s="5"/>
    </row>
    <row r="19" spans="2:37" ht="15.75" customHeight="1">
      <c r="B19" s="74"/>
      <c r="C19" s="75"/>
      <c r="D19" s="24" t="s">
        <v>30</v>
      </c>
      <c r="E19" s="23">
        <f>SUM(E15:E18)</f>
        <v>1680</v>
      </c>
      <c r="F19" s="23">
        <f t="shared" ref="F19:I19" si="3">SUM(F15:F18)</f>
        <v>1670</v>
      </c>
      <c r="G19" s="23">
        <f t="shared" si="3"/>
        <v>1</v>
      </c>
      <c r="H19" s="23">
        <f t="shared" si="3"/>
        <v>8</v>
      </c>
      <c r="I19" s="23">
        <f t="shared" si="3"/>
        <v>1</v>
      </c>
      <c r="J19" s="4"/>
      <c r="L19" s="26" t="s">
        <v>17</v>
      </c>
      <c r="M19" s="26" t="s">
        <v>27</v>
      </c>
      <c r="N19" s="26" t="s">
        <v>36</v>
      </c>
      <c r="O19" s="26" t="s">
        <v>40</v>
      </c>
      <c r="P19" s="26" t="s">
        <v>39</v>
      </c>
      <c r="Q19" s="26" t="s">
        <v>34</v>
      </c>
      <c r="R19" s="26" t="s">
        <v>16</v>
      </c>
      <c r="S19" s="4"/>
      <c r="T19" s="4"/>
      <c r="V19" s="4"/>
      <c r="W19" s="4"/>
      <c r="X19" s="4"/>
      <c r="Y19" s="4"/>
      <c r="Z19" s="4"/>
      <c r="AA19" s="4"/>
      <c r="AD19" s="5"/>
      <c r="AE19" s="5"/>
      <c r="AF19" s="5"/>
      <c r="AG19" s="5"/>
      <c r="AH19" s="5"/>
      <c r="AI19" s="5"/>
      <c r="AJ19" s="5"/>
      <c r="AK19" s="5"/>
    </row>
    <row r="20" spans="2:37" ht="15.75" customHeight="1">
      <c r="B20" s="70" t="s">
        <v>52</v>
      </c>
      <c r="C20" s="71"/>
      <c r="D20" s="22" t="s">
        <v>53</v>
      </c>
      <c r="E20" s="21" t="s">
        <v>4</v>
      </c>
      <c r="F20" s="21" t="s">
        <v>151</v>
      </c>
      <c r="G20" s="21" t="s">
        <v>26</v>
      </c>
      <c r="H20" s="21" t="s">
        <v>28</v>
      </c>
      <c r="I20" s="21" t="s">
        <v>152</v>
      </c>
      <c r="J20" s="4"/>
      <c r="L20" s="11" t="s">
        <v>22</v>
      </c>
      <c r="M20" s="8">
        <v>5</v>
      </c>
      <c r="N20" s="8">
        <v>7</v>
      </c>
      <c r="O20" s="8">
        <v>7</v>
      </c>
      <c r="P20" s="8">
        <v>6</v>
      </c>
      <c r="Q20" s="8">
        <v>6</v>
      </c>
      <c r="R20" s="9">
        <f>SUM(M20:Q20)</f>
        <v>31</v>
      </c>
      <c r="S20" s="4"/>
      <c r="T20" s="4"/>
      <c r="V20" s="4"/>
      <c r="W20" s="4"/>
      <c r="X20" s="4"/>
      <c r="Y20" s="4"/>
      <c r="Z20" s="4"/>
      <c r="AA20" s="4"/>
      <c r="AE20" s="5"/>
      <c r="AF20" s="5"/>
      <c r="AG20" s="5"/>
      <c r="AH20" s="5"/>
      <c r="AI20" s="5"/>
      <c r="AJ20" s="5"/>
      <c r="AK20" s="5"/>
    </row>
    <row r="21" spans="2:37" ht="15.75" customHeight="1">
      <c r="B21" s="72"/>
      <c r="C21" s="73"/>
      <c r="D21" s="6" t="s">
        <v>56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4"/>
      <c r="L21" s="11" t="s">
        <v>26</v>
      </c>
      <c r="M21" s="12">
        <v>2</v>
      </c>
      <c r="N21" s="12">
        <v>0</v>
      </c>
      <c r="O21" s="12">
        <v>1</v>
      </c>
      <c r="P21" s="12">
        <v>1</v>
      </c>
      <c r="Q21" s="12">
        <v>0</v>
      </c>
      <c r="R21" s="9">
        <f>SUM(M21:P21)</f>
        <v>4</v>
      </c>
      <c r="S21" s="4"/>
      <c r="T21" s="4"/>
      <c r="V21" s="4"/>
      <c r="W21" s="4"/>
      <c r="X21" s="4"/>
      <c r="Y21" s="4"/>
      <c r="Z21" s="4"/>
      <c r="AA21" s="4"/>
      <c r="AE21" s="5"/>
      <c r="AF21" s="5"/>
      <c r="AG21" s="5"/>
      <c r="AH21" s="5"/>
      <c r="AI21" s="5"/>
      <c r="AJ21" s="5"/>
      <c r="AK21" s="5"/>
    </row>
    <row r="22" spans="2:37" ht="15.75" customHeight="1">
      <c r="B22" s="72"/>
      <c r="C22" s="73"/>
      <c r="D22" s="6" t="s">
        <v>55</v>
      </c>
      <c r="E22" s="7">
        <v>1</v>
      </c>
      <c r="F22" s="7">
        <v>1</v>
      </c>
      <c r="G22" s="7">
        <v>0</v>
      </c>
      <c r="H22" s="7">
        <v>0</v>
      </c>
      <c r="I22" s="7">
        <v>0</v>
      </c>
      <c r="J22" s="4"/>
      <c r="L22" s="13" t="s">
        <v>28</v>
      </c>
      <c r="M22" s="7">
        <v>2</v>
      </c>
      <c r="N22" s="7">
        <v>0</v>
      </c>
      <c r="O22" s="7">
        <v>1</v>
      </c>
      <c r="P22" s="7">
        <v>0</v>
      </c>
      <c r="Q22" s="7">
        <v>1</v>
      </c>
      <c r="R22" s="9">
        <f>SUM(M22:P22)</f>
        <v>3</v>
      </c>
      <c r="S22" s="4"/>
      <c r="T22" s="4"/>
      <c r="V22" s="4"/>
      <c r="W22" s="4"/>
      <c r="X22" s="4"/>
      <c r="Y22" s="4"/>
      <c r="Z22" s="4"/>
      <c r="AA22" s="4"/>
      <c r="AE22" s="5"/>
      <c r="AF22" s="5"/>
      <c r="AG22" s="5"/>
      <c r="AH22" s="5"/>
      <c r="AI22" s="5"/>
      <c r="AJ22" s="5"/>
      <c r="AK22" s="5"/>
    </row>
    <row r="23" spans="2:37" ht="15.75" customHeight="1">
      <c r="B23" s="74"/>
      <c r="C23" s="75"/>
      <c r="D23" s="77" t="s">
        <v>30</v>
      </c>
      <c r="E23" s="23">
        <f>SUM(E21:E22)</f>
        <v>1</v>
      </c>
      <c r="F23" s="23"/>
      <c r="G23" s="23"/>
      <c r="H23" s="23"/>
      <c r="I23" s="23"/>
      <c r="J23" s="4"/>
      <c r="L23" s="13" t="s">
        <v>1</v>
      </c>
      <c r="M23" s="7">
        <v>1</v>
      </c>
      <c r="N23" s="7">
        <v>3</v>
      </c>
      <c r="O23" s="7">
        <v>0</v>
      </c>
      <c r="P23" s="7">
        <v>0</v>
      </c>
      <c r="Q23" s="7">
        <v>0</v>
      </c>
      <c r="R23" s="9">
        <f>SUM(M23:P23)</f>
        <v>4</v>
      </c>
      <c r="S23" s="3"/>
      <c r="T23" s="4"/>
      <c r="V23" s="4"/>
      <c r="W23" s="4"/>
      <c r="X23" s="4"/>
      <c r="Y23" s="4"/>
      <c r="Z23" s="4"/>
      <c r="AA23" s="4"/>
      <c r="AF23" s="5"/>
      <c r="AG23" s="5"/>
      <c r="AH23" s="5"/>
      <c r="AI23" s="5"/>
      <c r="AJ23" s="5"/>
      <c r="AK23" s="5"/>
    </row>
    <row r="24" spans="2:37" ht="15.75" customHeight="1">
      <c r="B24" s="79" t="s">
        <v>58</v>
      </c>
      <c r="C24" s="80"/>
      <c r="D24" s="78"/>
      <c r="E24" s="23">
        <f>+E6+E13+E19+E23</f>
        <v>5460</v>
      </c>
      <c r="F24" s="23">
        <f>+F6+F13+F19+F23</f>
        <v>5130</v>
      </c>
      <c r="G24" s="23">
        <f t="shared" ref="F24:I24" si="4">+G6+G13+G19+G23</f>
        <v>2</v>
      </c>
      <c r="H24" s="23">
        <f t="shared" si="4"/>
        <v>19</v>
      </c>
      <c r="I24" s="23">
        <f t="shared" si="4"/>
        <v>8</v>
      </c>
      <c r="J24" s="4"/>
      <c r="L24" s="13" t="s">
        <v>54</v>
      </c>
      <c r="M24" s="7">
        <v>0</v>
      </c>
      <c r="N24" s="7">
        <v>3</v>
      </c>
      <c r="O24" s="7">
        <v>2</v>
      </c>
      <c r="P24" s="7">
        <v>0</v>
      </c>
      <c r="Q24" s="7">
        <v>0</v>
      </c>
      <c r="R24" s="9">
        <f>SUM(M24:P24)</f>
        <v>5</v>
      </c>
      <c r="S24" s="4"/>
      <c r="T24" s="4"/>
      <c r="V24" s="4"/>
      <c r="W24" s="4"/>
      <c r="X24" s="4"/>
      <c r="Y24" s="4"/>
      <c r="Z24" s="4"/>
      <c r="AA24" s="4"/>
      <c r="AF24" s="5"/>
      <c r="AG24" s="5"/>
      <c r="AH24" s="5"/>
      <c r="AI24" s="5"/>
      <c r="AJ24" s="5"/>
      <c r="AK24" s="5"/>
    </row>
    <row r="25" spans="2:37" ht="15.75" customHeight="1">
      <c r="B25" s="4"/>
      <c r="C25" s="4"/>
      <c r="D25" s="4"/>
      <c r="E25" s="10"/>
      <c r="F25" s="10"/>
      <c r="G25" s="10"/>
      <c r="H25" s="10"/>
      <c r="I25" s="10"/>
      <c r="J25" s="10"/>
      <c r="L25" s="27" t="s">
        <v>31</v>
      </c>
      <c r="M25" s="27">
        <f t="shared" ref="M25:O25" si="5">SUM(M20:M24)</f>
        <v>10</v>
      </c>
      <c r="N25" s="27">
        <f t="shared" si="5"/>
        <v>13</v>
      </c>
      <c r="O25" s="27">
        <f t="shared" si="5"/>
        <v>11</v>
      </c>
      <c r="P25" s="27">
        <f>SUM(P20:P24)</f>
        <v>7</v>
      </c>
      <c r="Q25" s="27">
        <f>SUM(Q20:Q24)</f>
        <v>7</v>
      </c>
      <c r="R25" s="27">
        <f>SUM(R20:R24)</f>
        <v>47</v>
      </c>
      <c r="S25" s="4"/>
      <c r="T25" s="4"/>
      <c r="V25" s="4"/>
      <c r="W25" s="4"/>
      <c r="X25" s="4"/>
      <c r="Y25" s="4"/>
      <c r="Z25" s="4"/>
      <c r="AA25" s="4"/>
      <c r="AF25" s="5"/>
      <c r="AG25" s="5"/>
      <c r="AH25" s="5"/>
      <c r="AI25" s="5"/>
      <c r="AJ25" s="5"/>
      <c r="AK25" s="5"/>
    </row>
    <row r="26" spans="2:37" ht="15.75" customHeight="1">
      <c r="B26" s="68" t="s">
        <v>133</v>
      </c>
      <c r="C26" s="68"/>
      <c r="D26" s="68"/>
      <c r="E26" s="68"/>
      <c r="F26" s="68"/>
      <c r="G26" s="68"/>
      <c r="H26" s="68"/>
      <c r="I26" s="68"/>
      <c r="J26" s="69"/>
      <c r="L26" s="4"/>
      <c r="M26" s="4"/>
      <c r="N26" s="4"/>
      <c r="O26" s="4"/>
      <c r="R26" s="4"/>
      <c r="S26" s="4"/>
      <c r="T26" s="4"/>
      <c r="V26" s="4"/>
      <c r="W26" s="4"/>
      <c r="X26" s="4"/>
      <c r="Y26" s="4"/>
      <c r="Z26" s="4"/>
      <c r="AA26" s="4"/>
      <c r="AF26" s="5"/>
      <c r="AG26" s="5"/>
      <c r="AH26" s="5"/>
      <c r="AI26" s="5"/>
      <c r="AJ26" s="5"/>
      <c r="AK26" s="5"/>
    </row>
    <row r="27" spans="2:37" ht="15.75" customHeight="1">
      <c r="B27" s="22" t="s">
        <v>14</v>
      </c>
      <c r="C27" s="22" t="s">
        <v>64</v>
      </c>
      <c r="D27" s="22" t="s">
        <v>15</v>
      </c>
      <c r="E27" s="22" t="s">
        <v>65</v>
      </c>
      <c r="F27" s="22" t="s">
        <v>16</v>
      </c>
      <c r="G27" s="4"/>
      <c r="H27" s="4"/>
      <c r="I27" s="10"/>
      <c r="J27" s="4"/>
      <c r="L27" s="76" t="s">
        <v>57</v>
      </c>
      <c r="M27" s="68"/>
      <c r="N27" s="68"/>
      <c r="O27" s="4"/>
      <c r="P27" s="4"/>
      <c r="R27" s="4"/>
      <c r="S27" s="4"/>
      <c r="T27" s="4"/>
      <c r="V27" s="4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2:37" ht="15.75" customHeight="1">
      <c r="B28" s="1" t="s">
        <v>21</v>
      </c>
      <c r="C28" s="7">
        <v>5</v>
      </c>
      <c r="D28" s="7">
        <v>128</v>
      </c>
      <c r="E28" s="15">
        <v>10</v>
      </c>
      <c r="F28" s="16">
        <f>SUM(C28:E28)</f>
        <v>143</v>
      </c>
      <c r="G28" s="4"/>
      <c r="H28" s="4"/>
      <c r="I28" s="10"/>
      <c r="J28" s="4"/>
      <c r="L28" s="26" t="s">
        <v>17</v>
      </c>
      <c r="M28" s="26" t="s">
        <v>59</v>
      </c>
      <c r="N28" s="26" t="s">
        <v>60</v>
      </c>
      <c r="O28" s="4"/>
      <c r="P28" s="4"/>
      <c r="R28" s="4"/>
      <c r="S28" s="4"/>
      <c r="T28" s="4"/>
      <c r="V28" s="4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2:37" ht="15.75" customHeight="1">
      <c r="B29" s="1" t="s">
        <v>20</v>
      </c>
      <c r="C29" s="7">
        <v>9</v>
      </c>
      <c r="D29" s="7">
        <v>114</v>
      </c>
      <c r="E29" s="15">
        <v>16</v>
      </c>
      <c r="F29" s="16">
        <f>SUM(C29:E29)</f>
        <v>139</v>
      </c>
      <c r="G29" s="4"/>
      <c r="H29" s="4"/>
      <c r="I29" s="10"/>
      <c r="J29" s="4"/>
      <c r="L29" s="2" t="s">
        <v>61</v>
      </c>
      <c r="M29" s="8">
        <f>O8</f>
        <v>37</v>
      </c>
      <c r="N29" s="9">
        <f>E13+E19+E23</f>
        <v>4575</v>
      </c>
      <c r="O29" s="4"/>
      <c r="P29" s="4"/>
      <c r="R29" s="4"/>
      <c r="S29" s="4"/>
      <c r="T29" s="4"/>
      <c r="V29" s="4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2:37" ht="15.75" customHeight="1">
      <c r="B30" s="1" t="s">
        <v>29</v>
      </c>
      <c r="C30" s="7">
        <v>19</v>
      </c>
      <c r="D30" s="7">
        <v>104</v>
      </c>
      <c r="E30" s="15">
        <v>8</v>
      </c>
      <c r="F30" s="16">
        <f>SUM(C30:E30)</f>
        <v>131</v>
      </c>
      <c r="G30" s="4"/>
      <c r="H30" s="4"/>
      <c r="I30" s="10"/>
      <c r="J30" s="4"/>
      <c r="L30" s="2" t="s">
        <v>63</v>
      </c>
      <c r="M30" s="8">
        <f>P16</f>
        <v>8</v>
      </c>
      <c r="N30" s="9">
        <f>E6</f>
        <v>885</v>
      </c>
      <c r="O30" s="4"/>
      <c r="P30" s="4"/>
      <c r="R30" s="4"/>
      <c r="S30" s="4"/>
      <c r="T30" s="4"/>
      <c r="V30" s="4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2:37" ht="15.75" customHeight="1">
      <c r="B31" s="24" t="s">
        <v>25</v>
      </c>
      <c r="C31" s="23">
        <f>SUM(C28:C30)</f>
        <v>33</v>
      </c>
      <c r="D31" s="23">
        <f>SUM(D28:D30)</f>
        <v>346</v>
      </c>
      <c r="E31" s="23">
        <f>SUM(E28:E30)</f>
        <v>34</v>
      </c>
      <c r="F31" s="23">
        <f>SUM(F28:F30)</f>
        <v>413</v>
      </c>
      <c r="G31" s="4"/>
      <c r="H31" s="4"/>
      <c r="I31" s="10"/>
      <c r="J31" s="4"/>
      <c r="L31" s="27" t="s">
        <v>31</v>
      </c>
      <c r="M31" s="27">
        <f>SUM(M29:M30)</f>
        <v>45</v>
      </c>
      <c r="N31" s="27">
        <f>SUM(N29:N30)</f>
        <v>5460</v>
      </c>
      <c r="O31" s="4"/>
      <c r="P31" s="4"/>
      <c r="R31" s="4"/>
      <c r="S31" s="4"/>
      <c r="T31" s="4"/>
      <c r="V31" s="4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2:37" ht="15.75" customHeight="1">
      <c r="B32" s="4"/>
      <c r="C32" s="4"/>
      <c r="D32" s="4"/>
      <c r="E32" s="10"/>
      <c r="F32" s="10"/>
      <c r="G32" s="10"/>
      <c r="H32" s="10"/>
      <c r="I32" s="10"/>
      <c r="J32" s="10"/>
      <c r="L32" s="4"/>
      <c r="M32" s="10"/>
      <c r="N32" s="4"/>
      <c r="O32" s="4"/>
      <c r="P32" s="4"/>
      <c r="R32" s="4"/>
      <c r="S32" s="4"/>
      <c r="T32" s="4"/>
      <c r="V32" s="4"/>
      <c r="W32" s="4"/>
      <c r="X32" s="4"/>
      <c r="Y32" s="4"/>
      <c r="Z32" s="4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ht="15.75" customHeight="1">
      <c r="B33" s="10"/>
      <c r="C33" s="10"/>
      <c r="D33" s="10"/>
      <c r="E33" s="10"/>
      <c r="F33" s="10"/>
      <c r="G33" s="10"/>
      <c r="H33" s="10"/>
      <c r="I33" s="10"/>
      <c r="J33" s="10"/>
      <c r="L33" s="4"/>
      <c r="M33" s="10"/>
      <c r="N33" s="4"/>
      <c r="O33" s="4"/>
      <c r="P33" s="4"/>
      <c r="R33" s="4"/>
      <c r="S33" s="4"/>
      <c r="T33" s="4"/>
      <c r="V33" s="4"/>
      <c r="W33" s="4"/>
      <c r="X33" s="4"/>
      <c r="Y33" s="4"/>
      <c r="Z33" s="4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15.75" customHeight="1">
      <c r="B34" s="68" t="s">
        <v>21</v>
      </c>
      <c r="C34" s="69"/>
      <c r="D34" s="4"/>
      <c r="E34" s="68" t="s">
        <v>20</v>
      </c>
      <c r="F34" s="68"/>
      <c r="G34" s="68"/>
      <c r="H34" s="68"/>
      <c r="I34" s="68"/>
      <c r="J34" s="69"/>
      <c r="L34" s="68" t="s">
        <v>135</v>
      </c>
      <c r="M34" s="69"/>
      <c r="N34" s="4"/>
      <c r="O34" s="4"/>
      <c r="P34" s="4"/>
      <c r="R34" s="4"/>
      <c r="S34" s="4"/>
      <c r="T34" s="4"/>
      <c r="V34" s="4"/>
      <c r="W34" s="4"/>
      <c r="X34" s="4"/>
      <c r="Y34" s="4"/>
      <c r="Z34" s="4"/>
      <c r="AA34" s="4"/>
      <c r="AF34" s="5"/>
      <c r="AG34" s="5"/>
      <c r="AH34" s="5"/>
      <c r="AI34" s="5"/>
      <c r="AJ34" s="5"/>
      <c r="AK34" s="5"/>
    </row>
    <row r="35" spans="1:37" ht="15.75" customHeight="1">
      <c r="B35" s="34" t="s">
        <v>68</v>
      </c>
      <c r="C35" s="34" t="s">
        <v>153</v>
      </c>
      <c r="D35" s="10"/>
      <c r="E35" s="34" t="s">
        <v>68</v>
      </c>
      <c r="F35" s="34" t="str">
        <f>C35</f>
        <v>CORTE AL 30/04</v>
      </c>
      <c r="G35" s="4"/>
      <c r="H35" s="34" t="s">
        <v>68</v>
      </c>
      <c r="I35" s="34" t="str">
        <f>C35</f>
        <v>CORTE AL 30/04</v>
      </c>
      <c r="J35" s="4"/>
      <c r="L35" s="10"/>
      <c r="M35" s="4"/>
      <c r="N35" s="4"/>
      <c r="O35" s="10"/>
      <c r="P35" s="10"/>
      <c r="R35" s="4"/>
      <c r="S35" s="4"/>
      <c r="T35" s="4"/>
      <c r="V35" s="4"/>
      <c r="W35" s="4"/>
      <c r="X35" s="4"/>
      <c r="Y35" s="4"/>
      <c r="Z35" s="4"/>
      <c r="AA35" s="4"/>
      <c r="AH35" s="5"/>
      <c r="AI35" s="5"/>
      <c r="AJ35" s="5"/>
      <c r="AK35" s="5"/>
    </row>
    <row r="36" spans="1:37" ht="15.75" customHeight="1">
      <c r="B36" s="39" t="s">
        <v>74</v>
      </c>
      <c r="C36" s="36">
        <v>28</v>
      </c>
      <c r="D36" s="18"/>
      <c r="E36" s="37" t="s">
        <v>71</v>
      </c>
      <c r="F36" s="36">
        <v>27</v>
      </c>
      <c r="G36" s="4"/>
      <c r="H36" s="37" t="s">
        <v>97</v>
      </c>
      <c r="I36" s="36">
        <v>13</v>
      </c>
      <c r="J36" s="4"/>
      <c r="L36" s="10"/>
      <c r="M36" s="10"/>
      <c r="N36" s="4"/>
      <c r="O36" s="4"/>
      <c r="P36" s="4"/>
      <c r="R36" s="4"/>
      <c r="S36" s="4"/>
      <c r="T36" s="4"/>
      <c r="V36" s="4"/>
      <c r="W36" s="4"/>
      <c r="X36" s="4"/>
      <c r="Y36" s="4"/>
      <c r="Z36" s="4"/>
      <c r="AA36" s="4"/>
      <c r="AE36" s="5"/>
      <c r="AF36" s="5"/>
      <c r="AG36" s="5"/>
      <c r="AH36" s="5"/>
      <c r="AI36" s="5"/>
      <c r="AJ36" s="5"/>
      <c r="AK36" s="5"/>
    </row>
    <row r="37" spans="1:37" ht="15.75" customHeight="1">
      <c r="B37" s="39" t="s">
        <v>94</v>
      </c>
      <c r="C37" s="36">
        <v>24</v>
      </c>
      <c r="D37" s="18"/>
      <c r="E37" s="37" t="s">
        <v>75</v>
      </c>
      <c r="F37" s="36">
        <v>24</v>
      </c>
      <c r="G37" s="4"/>
      <c r="H37" s="37" t="s">
        <v>77</v>
      </c>
      <c r="I37" s="36">
        <v>13</v>
      </c>
      <c r="J37" s="4"/>
      <c r="L37" s="10"/>
      <c r="M37" s="10"/>
      <c r="N37" s="4"/>
      <c r="O37" s="4"/>
      <c r="P37" s="4"/>
      <c r="R37" s="4"/>
      <c r="S37" s="4"/>
      <c r="T37" s="4"/>
      <c r="V37" s="4"/>
      <c r="W37" s="4"/>
      <c r="X37" s="4"/>
      <c r="Y37" s="4"/>
      <c r="Z37" s="4"/>
      <c r="AA37" s="4"/>
      <c r="AE37" s="5"/>
      <c r="AF37" s="5"/>
      <c r="AG37" s="5"/>
      <c r="AH37" s="5"/>
      <c r="AI37" s="5"/>
      <c r="AJ37" s="5"/>
      <c r="AK37" s="5"/>
    </row>
    <row r="38" spans="1:37" ht="15.75" customHeight="1">
      <c r="B38" s="39" t="s">
        <v>102</v>
      </c>
      <c r="C38" s="36">
        <v>23</v>
      </c>
      <c r="D38" s="18"/>
      <c r="E38" s="37" t="s">
        <v>79</v>
      </c>
      <c r="F38" s="36">
        <v>12</v>
      </c>
      <c r="G38" s="4"/>
      <c r="H38" s="37" t="s">
        <v>85</v>
      </c>
      <c r="I38" s="36">
        <v>12</v>
      </c>
      <c r="J38" s="4"/>
      <c r="L38" s="10"/>
      <c r="M38" s="10"/>
      <c r="N38" s="4"/>
      <c r="O38" s="4"/>
      <c r="P38" s="4"/>
      <c r="R38" s="4"/>
      <c r="S38" s="4"/>
      <c r="T38" s="4"/>
      <c r="V38" s="4"/>
      <c r="W38" s="4"/>
      <c r="X38" s="4"/>
      <c r="Y38" s="4"/>
      <c r="Z38" s="4"/>
      <c r="AA38" s="4"/>
      <c r="AE38" s="5"/>
      <c r="AF38" s="5"/>
      <c r="AG38" s="5"/>
      <c r="AH38" s="5"/>
      <c r="AI38" s="5"/>
      <c r="AJ38" s="5"/>
      <c r="AK38" s="5"/>
    </row>
    <row r="39" spans="1:37" ht="15.75" customHeight="1">
      <c r="A39" s="18"/>
      <c r="B39" s="39" t="s">
        <v>90</v>
      </c>
      <c r="C39" s="36">
        <v>14</v>
      </c>
      <c r="D39" s="18"/>
      <c r="E39" s="37" t="s">
        <v>70</v>
      </c>
      <c r="F39" s="36">
        <v>11</v>
      </c>
      <c r="G39" s="4"/>
      <c r="H39" s="37" t="s">
        <v>81</v>
      </c>
      <c r="I39" s="36">
        <v>11</v>
      </c>
      <c r="J39" s="4"/>
      <c r="L39" s="10"/>
      <c r="M39" s="10"/>
      <c r="N39" s="4"/>
      <c r="O39" s="4"/>
      <c r="P39" s="4"/>
      <c r="R39" s="4"/>
      <c r="S39" s="4"/>
      <c r="T39" s="4"/>
      <c r="V39" s="4"/>
      <c r="W39" s="4"/>
      <c r="X39" s="4"/>
      <c r="Y39" s="4"/>
      <c r="Z39" s="4"/>
      <c r="AA39" s="4"/>
      <c r="AE39" s="5"/>
      <c r="AF39" s="5"/>
      <c r="AG39" s="5"/>
      <c r="AH39" s="5"/>
      <c r="AI39" s="5"/>
      <c r="AJ39" s="5"/>
      <c r="AK39" s="5"/>
    </row>
    <row r="40" spans="1:37">
      <c r="A40" s="18"/>
      <c r="B40" s="39" t="s">
        <v>82</v>
      </c>
      <c r="C40" s="36">
        <v>11</v>
      </c>
      <c r="D40" s="18"/>
      <c r="E40" s="37" t="s">
        <v>87</v>
      </c>
      <c r="F40" s="36">
        <v>6</v>
      </c>
      <c r="G40" s="18"/>
      <c r="H40" s="37" t="s">
        <v>93</v>
      </c>
      <c r="I40" s="36">
        <v>11</v>
      </c>
      <c r="J40" s="4"/>
      <c r="L40" s="10"/>
      <c r="M40" s="10"/>
      <c r="N40" s="4"/>
      <c r="O40" s="4"/>
      <c r="P40" s="4"/>
      <c r="R40" s="4"/>
      <c r="S40" s="4"/>
      <c r="T40" s="4"/>
      <c r="V40" s="4"/>
      <c r="W40" s="4"/>
      <c r="X40" s="4"/>
      <c r="Y40" s="4"/>
      <c r="Z40" s="4"/>
      <c r="AA40" s="4"/>
      <c r="AE40" s="5"/>
      <c r="AF40" s="5"/>
      <c r="AG40" s="5"/>
      <c r="AH40" s="5"/>
      <c r="AI40" s="5"/>
      <c r="AJ40" s="5"/>
      <c r="AK40" s="5"/>
    </row>
    <row r="41" spans="1:37" s="48" customFormat="1" ht="15.75" customHeight="1">
      <c r="A41" s="18"/>
      <c r="B41" s="39" t="s">
        <v>86</v>
      </c>
      <c r="C41" s="36">
        <v>8</v>
      </c>
      <c r="D41" s="18"/>
      <c r="E41" s="37" t="s">
        <v>91</v>
      </c>
      <c r="F41" s="36">
        <v>6</v>
      </c>
      <c r="G41" s="18"/>
      <c r="H41" s="37" t="s">
        <v>73</v>
      </c>
      <c r="I41" s="36">
        <v>10</v>
      </c>
      <c r="J41" s="18"/>
      <c r="K41" s="18"/>
      <c r="L41" s="17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7" s="48" customFormat="1" ht="12.75">
      <c r="A42" s="18"/>
      <c r="B42" s="39" t="s">
        <v>143</v>
      </c>
      <c r="C42" s="36">
        <v>7</v>
      </c>
      <c r="D42" s="18"/>
      <c r="E42" s="37" t="s">
        <v>95</v>
      </c>
      <c r="F42" s="36">
        <v>6</v>
      </c>
      <c r="G42" s="18"/>
      <c r="H42" s="37" t="s">
        <v>89</v>
      </c>
      <c r="I42" s="36">
        <v>9</v>
      </c>
      <c r="J42" s="18"/>
      <c r="K42" s="18"/>
      <c r="L42" s="17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7" s="48" customFormat="1" ht="12.75">
      <c r="A43" s="18"/>
      <c r="B43" s="39" t="s">
        <v>98</v>
      </c>
      <c r="C43" s="36">
        <v>6</v>
      </c>
      <c r="D43" s="18"/>
      <c r="E43" s="37" t="s">
        <v>99</v>
      </c>
      <c r="F43" s="36">
        <v>5</v>
      </c>
      <c r="G43" s="18"/>
      <c r="H43" s="37" t="s">
        <v>101</v>
      </c>
      <c r="I43" s="36">
        <v>9</v>
      </c>
      <c r="J43" s="18"/>
      <c r="K43" s="18"/>
      <c r="L43" s="17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7" s="48" customFormat="1" ht="12.75">
      <c r="A44" s="18"/>
      <c r="B44" s="39" t="s">
        <v>150</v>
      </c>
      <c r="C44" s="36">
        <v>5</v>
      </c>
      <c r="D44" s="18"/>
      <c r="E44" s="37" t="s">
        <v>83</v>
      </c>
      <c r="F44" s="36">
        <v>4</v>
      </c>
      <c r="G44" s="18"/>
      <c r="H44" s="37" t="s">
        <v>109</v>
      </c>
      <c r="I44" s="36">
        <v>2</v>
      </c>
      <c r="J44" s="18"/>
      <c r="K44" s="18"/>
      <c r="L44" s="17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7" s="48" customFormat="1" ht="12.75">
      <c r="A45" s="18"/>
      <c r="B45" s="39" t="s">
        <v>106</v>
      </c>
      <c r="C45" s="36">
        <v>2</v>
      </c>
      <c r="D45" s="18"/>
      <c r="E45" s="37" t="s">
        <v>110</v>
      </c>
      <c r="F45" s="36">
        <v>3</v>
      </c>
      <c r="G45" s="18"/>
      <c r="H45" s="37" t="s">
        <v>118</v>
      </c>
      <c r="I45" s="36">
        <v>1</v>
      </c>
      <c r="J45" s="18"/>
      <c r="K45" s="18"/>
      <c r="L45" s="17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7" s="48" customFormat="1" ht="12.75">
      <c r="A46" s="18"/>
      <c r="B46" s="39" t="s">
        <v>154</v>
      </c>
      <c r="C46" s="36">
        <v>1</v>
      </c>
      <c r="D46" s="18"/>
      <c r="E46" s="37" t="s">
        <v>124</v>
      </c>
      <c r="F46" s="36">
        <v>3</v>
      </c>
      <c r="G46" s="18"/>
      <c r="H46" s="37" t="s">
        <v>105</v>
      </c>
      <c r="I46" s="36">
        <v>1</v>
      </c>
      <c r="J46" s="18"/>
      <c r="K46" s="18"/>
      <c r="L46" s="17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7" s="48" customFormat="1" ht="12.75">
      <c r="A47" s="18"/>
      <c r="B47" s="39" t="s">
        <v>155</v>
      </c>
      <c r="C47" s="36">
        <v>1</v>
      </c>
      <c r="D47" s="18"/>
      <c r="E47" s="37" t="s">
        <v>107</v>
      </c>
      <c r="F47" s="36">
        <v>2</v>
      </c>
      <c r="G47" s="18"/>
      <c r="H47" s="37" t="s">
        <v>115</v>
      </c>
      <c r="I47" s="36">
        <v>1</v>
      </c>
      <c r="J47" s="18"/>
      <c r="K47" s="18"/>
      <c r="L47" s="17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7" s="48" customFormat="1" ht="12.75">
      <c r="A48" s="18"/>
      <c r="B48" s="39" t="s">
        <v>146</v>
      </c>
      <c r="C48" s="36">
        <v>0</v>
      </c>
      <c r="D48" s="18"/>
      <c r="E48" s="37" t="s">
        <v>113</v>
      </c>
      <c r="F48" s="36">
        <v>1</v>
      </c>
      <c r="G48" s="18"/>
      <c r="H48" s="37" t="s">
        <v>112</v>
      </c>
      <c r="I48" s="36">
        <v>1</v>
      </c>
      <c r="J48" s="18"/>
      <c r="K48" s="18"/>
      <c r="L48" s="17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4" s="48" customFormat="1" ht="12.75">
      <c r="A49" s="18"/>
      <c r="B49" s="39" t="s">
        <v>139</v>
      </c>
      <c r="C49" s="36">
        <v>0</v>
      </c>
      <c r="D49" s="18"/>
      <c r="E49" s="37" t="s">
        <v>116</v>
      </c>
      <c r="F49" s="36">
        <v>1</v>
      </c>
      <c r="G49" s="18"/>
      <c r="H49" s="37" t="s">
        <v>121</v>
      </c>
      <c r="I49" s="36">
        <v>1</v>
      </c>
      <c r="J49" s="18"/>
      <c r="K49" s="18"/>
      <c r="L49" s="17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4" s="48" customFormat="1">
      <c r="A50" s="18"/>
      <c r="B50" s="39" t="s">
        <v>145</v>
      </c>
      <c r="C50" s="36">
        <v>0</v>
      </c>
      <c r="D50" s="18"/>
      <c r="E50" s="37" t="s">
        <v>123</v>
      </c>
      <c r="F50" s="36">
        <v>1</v>
      </c>
      <c r="G50" s="18"/>
      <c r="H50" s="17"/>
      <c r="I50" s="10"/>
      <c r="J50" s="18"/>
      <c r="K50" s="18"/>
      <c r="L50" s="17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4" s="48" customFormat="1">
      <c r="A51" s="18"/>
      <c r="B51" s="39" t="s">
        <v>148</v>
      </c>
      <c r="C51" s="36">
        <v>0</v>
      </c>
      <c r="D51" s="18"/>
      <c r="E51" s="37" t="s">
        <v>119</v>
      </c>
      <c r="F51" s="36">
        <v>1</v>
      </c>
      <c r="G51" s="18"/>
      <c r="H51" s="17"/>
      <c r="I51" s="10"/>
      <c r="J51" s="18"/>
      <c r="K51" s="18"/>
      <c r="L51" s="17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4" s="48" customFormat="1">
      <c r="A52" s="18"/>
      <c r="B52" s="39" t="s">
        <v>144</v>
      </c>
      <c r="C52" s="36">
        <v>0</v>
      </c>
      <c r="D52" s="18"/>
      <c r="E52" s="37" t="s">
        <v>122</v>
      </c>
      <c r="F52" s="36">
        <v>0</v>
      </c>
      <c r="G52" s="18"/>
      <c r="H52" s="10"/>
      <c r="I52" s="10"/>
      <c r="J52" s="18"/>
      <c r="K52" s="18"/>
      <c r="L52" s="17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4" s="48" customFormat="1">
      <c r="A53" s="18"/>
      <c r="B53" s="39" t="s">
        <v>149</v>
      </c>
      <c r="C53" s="36">
        <v>0</v>
      </c>
      <c r="D53" s="18"/>
      <c r="E53" s="10"/>
      <c r="F53" s="10"/>
      <c r="G53" s="10"/>
      <c r="H53" s="10"/>
      <c r="I53" s="10"/>
      <c r="J53" s="10"/>
      <c r="K53" s="18"/>
      <c r="L53" s="10"/>
      <c r="M53" s="10"/>
      <c r="N53" s="18"/>
      <c r="O53" s="18"/>
      <c r="P53" s="17"/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s="48" customFormat="1">
      <c r="A54" s="18"/>
      <c r="B54" s="39" t="s">
        <v>147</v>
      </c>
      <c r="C54" s="36">
        <v>0</v>
      </c>
      <c r="D54" s="4"/>
      <c r="E54" s="10"/>
      <c r="F54" s="10"/>
      <c r="G54" s="10"/>
      <c r="H54" s="10"/>
      <c r="I54" s="10"/>
      <c r="J54" s="10"/>
      <c r="K54" s="18"/>
      <c r="L54" s="10"/>
      <c r="M54" s="10"/>
      <c r="N54" s="18"/>
      <c r="O54" s="18"/>
      <c r="P54" s="17"/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s="48" customFormat="1">
      <c r="A55" s="18"/>
      <c r="B55" s="39" t="s">
        <v>137</v>
      </c>
      <c r="C55" s="36">
        <v>0</v>
      </c>
      <c r="D55" s="4"/>
      <c r="E55" s="10"/>
      <c r="F55" s="10"/>
      <c r="G55" s="10"/>
      <c r="H55" s="10"/>
      <c r="I55" s="10"/>
      <c r="J55" s="10"/>
      <c r="K55" s="18"/>
      <c r="L55" s="4"/>
      <c r="M55" s="4"/>
      <c r="N55" s="18"/>
      <c r="O55" s="18"/>
      <c r="P55" s="17"/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s="18" customFormat="1">
      <c r="B56" s="39" t="s">
        <v>123</v>
      </c>
      <c r="C56" s="36">
        <v>0</v>
      </c>
      <c r="D56" s="4"/>
      <c r="E56" s="10"/>
      <c r="F56" s="10"/>
      <c r="G56" s="10"/>
      <c r="H56" s="10"/>
      <c r="I56" s="10"/>
      <c r="J56" s="10"/>
      <c r="L56" s="4"/>
      <c r="M56" s="4"/>
      <c r="P56" s="17"/>
      <c r="Q56" s="17"/>
    </row>
    <row r="57" spans="1:34" s="4" customFormat="1">
      <c r="E57" s="10"/>
      <c r="F57" s="10"/>
      <c r="G57" s="10"/>
      <c r="H57" s="10"/>
      <c r="I57" s="10"/>
      <c r="J57" s="10"/>
      <c r="K57" s="18"/>
      <c r="O57" s="10"/>
      <c r="P57" s="10"/>
      <c r="S57" s="10"/>
      <c r="T57" s="10"/>
    </row>
    <row r="58" spans="1:34" s="4" customFormat="1">
      <c r="E58" s="10"/>
      <c r="F58" s="10"/>
      <c r="G58" s="10"/>
      <c r="H58" s="10"/>
      <c r="I58" s="10"/>
      <c r="J58" s="10"/>
      <c r="O58" s="10"/>
      <c r="P58" s="10"/>
      <c r="S58" s="10"/>
      <c r="T58" s="10"/>
    </row>
    <row r="59" spans="1:34" s="4" customFormat="1">
      <c r="E59" s="10"/>
      <c r="F59" s="10"/>
      <c r="G59" s="10"/>
      <c r="H59" s="10"/>
      <c r="I59" s="10"/>
      <c r="J59" s="10"/>
      <c r="O59" s="10"/>
      <c r="P59" s="10"/>
      <c r="S59" s="10"/>
      <c r="T59" s="10"/>
    </row>
    <row r="60" spans="1:34" s="4" customFormat="1">
      <c r="E60" s="10"/>
      <c r="F60" s="10"/>
      <c r="G60" s="10"/>
      <c r="H60" s="10"/>
      <c r="I60" s="10"/>
      <c r="J60" s="10"/>
      <c r="O60" s="10"/>
      <c r="P60" s="10"/>
      <c r="S60" s="10"/>
      <c r="T60" s="10"/>
    </row>
    <row r="61" spans="1:34" s="4" customFormat="1">
      <c r="E61" s="10"/>
      <c r="F61" s="10"/>
      <c r="G61" s="10"/>
      <c r="H61" s="10"/>
      <c r="I61" s="10"/>
      <c r="J61" s="10"/>
      <c r="O61" s="10"/>
      <c r="P61" s="10"/>
      <c r="S61" s="10"/>
      <c r="T61" s="10"/>
    </row>
    <row r="62" spans="1:34" s="4" customFormat="1">
      <c r="E62" s="10"/>
      <c r="F62" s="10"/>
      <c r="G62" s="10"/>
      <c r="H62" s="10"/>
      <c r="I62" s="10"/>
      <c r="J62" s="10"/>
      <c r="O62" s="10"/>
      <c r="P62" s="10"/>
      <c r="S62" s="10"/>
      <c r="T62" s="10"/>
    </row>
    <row r="63" spans="1:34" s="4" customFormat="1" ht="15" customHeight="1">
      <c r="E63" s="10"/>
      <c r="F63" s="10"/>
      <c r="G63" s="10"/>
      <c r="H63" s="10"/>
      <c r="I63" s="10"/>
      <c r="J63" s="10"/>
      <c r="O63" s="10"/>
      <c r="P63" s="10"/>
      <c r="S63" s="10"/>
      <c r="T63" s="10"/>
    </row>
    <row r="64" spans="1:34" s="4" customFormat="1" ht="15" customHeight="1">
      <c r="E64" s="10"/>
      <c r="F64" s="10"/>
      <c r="G64" s="10"/>
      <c r="H64" s="10"/>
      <c r="I64" s="10"/>
      <c r="J64" s="10"/>
      <c r="O64" s="10"/>
      <c r="P64" s="10"/>
      <c r="S64" s="10"/>
      <c r="T64" s="10"/>
    </row>
    <row r="65" spans="5:20" s="4" customFormat="1" ht="15" customHeight="1">
      <c r="E65" s="10"/>
      <c r="F65" s="10"/>
      <c r="G65" s="10"/>
      <c r="H65" s="10"/>
      <c r="I65" s="10"/>
      <c r="J65" s="10"/>
      <c r="O65" s="10"/>
      <c r="P65" s="10"/>
      <c r="S65" s="10"/>
      <c r="T65" s="10"/>
    </row>
    <row r="66" spans="5:20" s="4" customFormat="1" ht="15" customHeight="1">
      <c r="E66" s="10"/>
      <c r="F66" s="10"/>
      <c r="G66" s="10"/>
      <c r="H66" s="10"/>
      <c r="I66" s="10"/>
      <c r="J66" s="10"/>
      <c r="O66" s="10"/>
      <c r="P66" s="10"/>
      <c r="S66" s="10"/>
      <c r="T66" s="10"/>
    </row>
    <row r="67" spans="5:20" s="4" customFormat="1" ht="15" customHeight="1">
      <c r="E67" s="10"/>
      <c r="F67" s="10"/>
      <c r="G67" s="10"/>
      <c r="H67" s="10"/>
      <c r="I67" s="10"/>
      <c r="J67" s="10"/>
      <c r="O67" s="10"/>
      <c r="P67" s="10"/>
      <c r="S67" s="10"/>
      <c r="T67" s="10"/>
    </row>
    <row r="68" spans="5:20" s="4" customFormat="1" ht="15" customHeight="1">
      <c r="E68" s="10"/>
      <c r="F68" s="10"/>
      <c r="G68" s="10"/>
      <c r="H68" s="10"/>
      <c r="I68" s="10"/>
      <c r="J68" s="10"/>
      <c r="O68" s="10"/>
      <c r="P68" s="10"/>
      <c r="S68" s="10"/>
      <c r="T68" s="10"/>
    </row>
    <row r="69" spans="5:20" s="4" customFormat="1" ht="15" customHeight="1">
      <c r="E69" s="10"/>
      <c r="F69" s="10"/>
      <c r="G69" s="10"/>
      <c r="H69" s="10"/>
      <c r="I69" s="10"/>
      <c r="J69" s="10"/>
      <c r="O69" s="10"/>
      <c r="P69" s="10"/>
      <c r="S69" s="10"/>
      <c r="T69" s="10"/>
    </row>
    <row r="70" spans="5:20" s="4" customFormat="1" ht="15" customHeight="1">
      <c r="E70" s="10"/>
      <c r="F70" s="10"/>
      <c r="G70" s="10"/>
      <c r="H70" s="10"/>
      <c r="I70" s="10"/>
      <c r="J70" s="10"/>
      <c r="O70" s="10"/>
      <c r="P70" s="10"/>
      <c r="S70" s="10"/>
      <c r="T70" s="10"/>
    </row>
    <row r="71" spans="5:20" s="4" customFormat="1" ht="15" customHeight="1">
      <c r="E71" s="10"/>
      <c r="F71" s="10"/>
      <c r="G71" s="10"/>
      <c r="H71" s="10"/>
      <c r="I71" s="10"/>
      <c r="J71" s="10"/>
      <c r="O71" s="10"/>
      <c r="P71" s="10"/>
      <c r="S71" s="10"/>
      <c r="T71" s="10"/>
    </row>
    <row r="72" spans="5:20" s="4" customFormat="1" ht="15" customHeight="1">
      <c r="E72" s="10"/>
      <c r="F72" s="10"/>
      <c r="G72" s="10"/>
      <c r="H72" s="10"/>
      <c r="I72" s="10"/>
      <c r="J72" s="10"/>
      <c r="O72" s="10"/>
      <c r="P72" s="10"/>
      <c r="S72" s="10"/>
      <c r="T72" s="10"/>
    </row>
    <row r="73" spans="5:20" s="4" customFormat="1" ht="15" customHeight="1">
      <c r="E73" s="10"/>
      <c r="F73" s="10"/>
      <c r="G73" s="10"/>
      <c r="H73" s="10"/>
      <c r="I73" s="10"/>
      <c r="J73" s="10"/>
      <c r="O73" s="10"/>
      <c r="P73" s="10"/>
      <c r="S73" s="10"/>
      <c r="T73" s="10"/>
    </row>
    <row r="74" spans="5:20" s="4" customFormat="1" ht="15" customHeight="1">
      <c r="E74" s="10"/>
      <c r="F74" s="10"/>
      <c r="G74" s="10"/>
      <c r="H74" s="10"/>
      <c r="I74" s="10"/>
      <c r="J74" s="10"/>
      <c r="O74" s="10"/>
      <c r="P74" s="10"/>
      <c r="S74" s="10"/>
      <c r="T74" s="10"/>
    </row>
    <row r="75" spans="5:20" s="4" customFormat="1" ht="15" customHeight="1">
      <c r="E75" s="10"/>
      <c r="F75" s="10"/>
      <c r="G75" s="10"/>
      <c r="H75" s="10"/>
      <c r="I75" s="10"/>
      <c r="J75" s="10"/>
      <c r="O75" s="10"/>
      <c r="P75" s="10"/>
      <c r="S75" s="10"/>
      <c r="T75" s="10"/>
    </row>
    <row r="76" spans="5:20" s="4" customFormat="1" ht="15" customHeight="1">
      <c r="E76" s="10"/>
      <c r="F76" s="10"/>
      <c r="G76" s="10"/>
      <c r="H76" s="10"/>
      <c r="I76" s="10"/>
      <c r="J76" s="10"/>
      <c r="O76" s="10"/>
      <c r="P76" s="10"/>
      <c r="S76" s="10"/>
      <c r="T76" s="10"/>
    </row>
    <row r="77" spans="5:20" s="4" customFormat="1" ht="15" customHeight="1">
      <c r="E77" s="10"/>
      <c r="F77" s="10"/>
      <c r="G77" s="10"/>
      <c r="H77" s="10"/>
      <c r="I77" s="10"/>
      <c r="J77" s="10"/>
      <c r="O77" s="10"/>
      <c r="P77" s="10"/>
      <c r="S77" s="10"/>
      <c r="T77" s="10"/>
    </row>
    <row r="78" spans="5:20" s="4" customFormat="1" ht="15" customHeight="1">
      <c r="E78" s="10"/>
      <c r="F78" s="10"/>
      <c r="G78" s="10"/>
      <c r="H78" s="10"/>
      <c r="I78" s="10"/>
      <c r="J78" s="10"/>
      <c r="O78" s="10"/>
      <c r="P78" s="10"/>
      <c r="S78" s="10"/>
      <c r="T78" s="10"/>
    </row>
    <row r="79" spans="5:20" s="4" customFormat="1" ht="15" customHeight="1">
      <c r="E79" s="10"/>
      <c r="F79" s="10"/>
      <c r="G79" s="10"/>
      <c r="H79" s="10"/>
      <c r="I79" s="10"/>
      <c r="J79" s="10"/>
      <c r="O79" s="10"/>
      <c r="P79" s="10"/>
      <c r="S79" s="10"/>
      <c r="T79" s="10"/>
    </row>
    <row r="80" spans="5:20" s="4" customFormat="1" ht="15" customHeight="1">
      <c r="E80" s="10"/>
      <c r="F80" s="10"/>
      <c r="G80" s="10"/>
      <c r="H80" s="10"/>
      <c r="I80" s="10"/>
      <c r="J80" s="10"/>
      <c r="O80" s="10"/>
      <c r="P80" s="10"/>
      <c r="S80" s="10"/>
      <c r="T80" s="10"/>
    </row>
    <row r="81" spans="5:20" s="4" customFormat="1" ht="15" customHeight="1">
      <c r="E81" s="10"/>
      <c r="F81" s="10"/>
      <c r="G81" s="10"/>
      <c r="H81" s="10"/>
      <c r="I81" s="10"/>
      <c r="J81" s="10"/>
      <c r="O81" s="10"/>
      <c r="P81" s="10"/>
      <c r="S81" s="10"/>
      <c r="T81" s="10"/>
    </row>
    <row r="82" spans="5:20" s="4" customFormat="1" ht="15" customHeight="1">
      <c r="E82" s="10"/>
      <c r="F82" s="10"/>
      <c r="G82" s="10"/>
      <c r="H82" s="10"/>
      <c r="I82" s="10"/>
      <c r="J82" s="10"/>
      <c r="O82" s="10"/>
      <c r="P82" s="10"/>
      <c r="S82" s="10"/>
      <c r="T82" s="10"/>
    </row>
    <row r="83" spans="5:20" s="4" customFormat="1" ht="15" customHeight="1">
      <c r="E83" s="10"/>
      <c r="F83" s="10"/>
      <c r="G83" s="10"/>
      <c r="H83" s="10"/>
      <c r="I83" s="10"/>
      <c r="J83" s="10"/>
      <c r="O83" s="10"/>
      <c r="P83" s="10"/>
      <c r="S83" s="10"/>
      <c r="T83" s="10"/>
    </row>
    <row r="84" spans="5:20" s="4" customFormat="1" ht="15" customHeight="1">
      <c r="E84" s="10"/>
      <c r="F84" s="10"/>
      <c r="G84" s="10"/>
      <c r="H84" s="10"/>
      <c r="I84" s="10"/>
      <c r="J84" s="10"/>
      <c r="O84" s="10"/>
      <c r="P84" s="10"/>
      <c r="S84" s="10"/>
      <c r="T84" s="10"/>
    </row>
    <row r="85" spans="5:20" s="4" customFormat="1" ht="15" customHeight="1">
      <c r="E85" s="10"/>
      <c r="F85" s="10"/>
      <c r="G85" s="10"/>
      <c r="H85" s="10"/>
      <c r="I85" s="10"/>
      <c r="J85" s="10"/>
      <c r="O85" s="10"/>
      <c r="P85" s="10"/>
      <c r="S85" s="10"/>
      <c r="T85" s="10"/>
    </row>
    <row r="86" spans="5:20" s="4" customFormat="1" ht="15" customHeight="1">
      <c r="E86" s="10"/>
      <c r="F86" s="10"/>
      <c r="G86" s="10"/>
      <c r="H86" s="10"/>
      <c r="I86" s="10"/>
      <c r="J86" s="10"/>
      <c r="O86" s="10"/>
      <c r="P86" s="10"/>
      <c r="S86" s="10"/>
      <c r="T86" s="10"/>
    </row>
    <row r="87" spans="5:20" s="4" customFormat="1" ht="15" customHeight="1">
      <c r="E87" s="10"/>
      <c r="F87" s="10"/>
      <c r="G87" s="10"/>
      <c r="H87" s="10"/>
      <c r="I87" s="10"/>
      <c r="J87" s="10"/>
      <c r="O87" s="10"/>
      <c r="P87" s="10"/>
      <c r="S87" s="10"/>
      <c r="T87" s="10"/>
    </row>
    <row r="88" spans="5:20" s="4" customFormat="1" ht="15" customHeight="1">
      <c r="E88" s="10"/>
      <c r="F88" s="10"/>
      <c r="G88" s="10"/>
      <c r="H88" s="10"/>
      <c r="I88" s="10"/>
      <c r="J88" s="10"/>
      <c r="O88" s="10"/>
      <c r="P88" s="10"/>
      <c r="S88" s="10"/>
      <c r="T88" s="10"/>
    </row>
    <row r="89" spans="5:20" s="4" customFormat="1" ht="15" customHeight="1">
      <c r="E89" s="10"/>
      <c r="F89" s="10"/>
      <c r="G89" s="10"/>
      <c r="H89" s="10"/>
      <c r="I89" s="10"/>
      <c r="J89" s="10"/>
      <c r="O89" s="10"/>
      <c r="P89" s="10"/>
      <c r="S89" s="10"/>
      <c r="T89" s="10"/>
    </row>
    <row r="90" spans="5:20" s="4" customFormat="1" ht="15" customHeight="1">
      <c r="E90" s="10"/>
      <c r="F90" s="10"/>
      <c r="G90" s="10"/>
      <c r="H90" s="10"/>
      <c r="I90" s="10"/>
      <c r="J90" s="10"/>
      <c r="O90" s="10"/>
      <c r="P90" s="10"/>
      <c r="S90" s="10"/>
      <c r="T90" s="10"/>
    </row>
    <row r="91" spans="5:20" s="4" customFormat="1" ht="15" customHeight="1">
      <c r="E91" s="10"/>
      <c r="F91" s="10"/>
      <c r="G91" s="10"/>
      <c r="H91" s="10"/>
      <c r="I91" s="10"/>
      <c r="J91" s="10"/>
      <c r="O91" s="10"/>
      <c r="P91" s="10"/>
      <c r="S91" s="10"/>
      <c r="T91" s="10"/>
    </row>
    <row r="92" spans="5:20" s="4" customFormat="1" ht="15" customHeight="1">
      <c r="E92" s="10"/>
      <c r="F92" s="10"/>
      <c r="G92" s="10"/>
      <c r="H92" s="10"/>
      <c r="I92" s="10"/>
      <c r="J92" s="10"/>
      <c r="O92" s="10"/>
      <c r="P92" s="10"/>
      <c r="S92" s="10"/>
      <c r="T92" s="10"/>
    </row>
    <row r="93" spans="5:20" s="4" customFormat="1" ht="15" customHeight="1">
      <c r="E93" s="10"/>
      <c r="F93" s="10"/>
      <c r="G93" s="10"/>
      <c r="H93" s="10"/>
      <c r="I93" s="10"/>
      <c r="J93" s="10"/>
      <c r="O93" s="10"/>
      <c r="P93" s="10"/>
      <c r="S93" s="10"/>
      <c r="T93" s="10"/>
    </row>
    <row r="94" spans="5:20" s="4" customFormat="1" ht="15" customHeight="1">
      <c r="E94" s="10"/>
      <c r="F94" s="10"/>
      <c r="G94" s="10"/>
      <c r="H94" s="10"/>
      <c r="I94" s="10"/>
      <c r="J94" s="10"/>
      <c r="O94" s="10"/>
      <c r="P94" s="10"/>
      <c r="S94" s="10"/>
      <c r="T94" s="10"/>
    </row>
    <row r="95" spans="5:20" s="4" customFormat="1" ht="15" customHeight="1">
      <c r="E95" s="10"/>
      <c r="F95" s="10"/>
      <c r="G95" s="10"/>
      <c r="H95" s="10"/>
      <c r="I95" s="10"/>
      <c r="J95" s="10"/>
      <c r="O95" s="10"/>
      <c r="P95" s="10"/>
      <c r="S95" s="10"/>
      <c r="T95" s="10"/>
    </row>
    <row r="96" spans="5:20" s="4" customFormat="1" ht="15" customHeight="1">
      <c r="E96" s="10"/>
      <c r="F96" s="10"/>
      <c r="G96" s="10"/>
      <c r="H96" s="10"/>
      <c r="I96" s="10"/>
      <c r="J96" s="10"/>
      <c r="O96" s="10"/>
      <c r="P96" s="10"/>
      <c r="S96" s="10"/>
      <c r="T96" s="10"/>
    </row>
    <row r="97" spans="2:20" s="4" customFormat="1" ht="15" customHeight="1">
      <c r="E97" s="10"/>
      <c r="F97" s="10"/>
      <c r="G97" s="10"/>
      <c r="H97" s="10"/>
      <c r="I97" s="10"/>
      <c r="J97" s="10"/>
      <c r="O97" s="10"/>
      <c r="P97" s="10"/>
      <c r="S97" s="10"/>
      <c r="T97" s="10"/>
    </row>
    <row r="98" spans="2:20" s="4" customFormat="1" ht="15" customHeight="1">
      <c r="B98" s="5"/>
      <c r="C98" s="5"/>
      <c r="E98" s="10"/>
      <c r="F98" s="10"/>
      <c r="G98" s="10"/>
      <c r="H98" s="10"/>
      <c r="I98" s="10"/>
      <c r="J98" s="10"/>
      <c r="O98" s="10"/>
      <c r="P98" s="10"/>
      <c r="S98" s="10"/>
      <c r="T98" s="10"/>
    </row>
    <row r="99" spans="2:20" s="4" customFormat="1" ht="15" customHeight="1">
      <c r="B99" s="5"/>
      <c r="C99" s="5"/>
      <c r="E99" s="19"/>
      <c r="F99" s="19"/>
      <c r="G99" s="19"/>
      <c r="H99" s="19"/>
      <c r="I99" s="19"/>
      <c r="J99" s="19"/>
      <c r="L99" s="5"/>
      <c r="M99" s="5"/>
      <c r="O99" s="10"/>
      <c r="P99" s="10"/>
      <c r="S99" s="10"/>
      <c r="T99" s="10"/>
    </row>
    <row r="100" spans="2:20" s="4" customFormat="1" ht="15" customHeight="1">
      <c r="B100" s="5"/>
      <c r="C100" s="5"/>
      <c r="E100" s="19"/>
      <c r="F100" s="19"/>
      <c r="G100" s="19"/>
      <c r="H100" s="19"/>
      <c r="I100" s="19"/>
      <c r="J100" s="19"/>
      <c r="L100" s="5"/>
      <c r="M100" s="5"/>
      <c r="O100" s="10"/>
      <c r="P100" s="10"/>
      <c r="S100" s="10"/>
      <c r="T100" s="10"/>
    </row>
    <row r="101" spans="2:20" s="4" customFormat="1" ht="15" customHeight="1">
      <c r="B101" s="5"/>
      <c r="C101" s="5"/>
      <c r="E101" s="19"/>
      <c r="F101" s="19"/>
      <c r="G101" s="19"/>
      <c r="H101" s="19"/>
      <c r="I101" s="19"/>
      <c r="J101" s="19"/>
      <c r="L101" s="5"/>
      <c r="M101" s="5"/>
      <c r="O101" s="10"/>
      <c r="P101" s="10"/>
      <c r="S101" s="10"/>
      <c r="T101" s="10"/>
    </row>
    <row r="102" spans="2:20" s="4" customFormat="1" ht="15" customHeight="1">
      <c r="B102" s="5"/>
      <c r="C102" s="5"/>
      <c r="E102" s="19"/>
      <c r="F102" s="19"/>
      <c r="G102" s="19"/>
      <c r="H102" s="19"/>
      <c r="I102" s="19"/>
      <c r="J102" s="19"/>
      <c r="L102" s="5"/>
      <c r="M102" s="5"/>
      <c r="O102" s="10"/>
      <c r="P102" s="10"/>
      <c r="S102" s="10"/>
      <c r="T102" s="10"/>
    </row>
    <row r="103" spans="2:20" s="4" customFormat="1" ht="15" customHeight="1">
      <c r="B103" s="5"/>
      <c r="C103" s="5"/>
      <c r="E103" s="19"/>
      <c r="F103" s="19"/>
      <c r="G103" s="19"/>
      <c r="H103" s="19"/>
      <c r="I103" s="19"/>
      <c r="J103" s="19"/>
      <c r="L103" s="5"/>
      <c r="M103" s="5"/>
      <c r="O103" s="10"/>
      <c r="P103" s="10"/>
      <c r="S103" s="10"/>
      <c r="T103" s="10"/>
    </row>
    <row r="104" spans="2:20" s="4" customFormat="1" ht="15" customHeight="1">
      <c r="B104" s="5"/>
      <c r="C104" s="5"/>
      <c r="E104" s="19"/>
      <c r="F104" s="19"/>
      <c r="G104" s="19"/>
      <c r="H104" s="19"/>
      <c r="I104" s="19"/>
      <c r="J104" s="19"/>
      <c r="L104" s="5"/>
      <c r="M104" s="5"/>
      <c r="O104" s="10"/>
      <c r="P104" s="10"/>
      <c r="S104" s="10"/>
      <c r="T104" s="10"/>
    </row>
    <row r="105" spans="2:20" s="4" customFormat="1" ht="15" customHeight="1">
      <c r="B105" s="5"/>
      <c r="C105" s="5"/>
      <c r="E105" s="19"/>
      <c r="F105" s="19"/>
      <c r="G105" s="19"/>
      <c r="H105" s="19"/>
      <c r="I105" s="19"/>
      <c r="J105" s="19"/>
      <c r="L105" s="5"/>
      <c r="M105" s="5"/>
      <c r="O105" s="10"/>
      <c r="P105" s="10"/>
      <c r="S105" s="10"/>
      <c r="T105" s="10"/>
    </row>
    <row r="106" spans="2:20" s="4" customFormat="1" ht="15" customHeight="1">
      <c r="B106" s="5"/>
      <c r="C106" s="5"/>
      <c r="E106" s="19"/>
      <c r="F106" s="19"/>
      <c r="G106" s="19"/>
      <c r="H106" s="19"/>
      <c r="I106" s="19"/>
      <c r="J106" s="19"/>
      <c r="L106" s="5"/>
      <c r="M106" s="5"/>
      <c r="O106" s="10"/>
      <c r="P106" s="10"/>
      <c r="S106" s="10"/>
      <c r="T106" s="10"/>
    </row>
    <row r="107" spans="2:20" s="4" customFormat="1" ht="15" customHeight="1">
      <c r="B107" s="5"/>
      <c r="C107" s="5"/>
      <c r="E107" s="19"/>
      <c r="F107" s="19"/>
      <c r="G107" s="19"/>
      <c r="H107" s="19"/>
      <c r="I107" s="19"/>
      <c r="J107" s="19"/>
      <c r="L107" s="5"/>
      <c r="M107" s="5"/>
      <c r="O107" s="10"/>
      <c r="P107" s="10"/>
      <c r="S107" s="10"/>
      <c r="T107" s="10"/>
    </row>
    <row r="108" spans="2:20" s="4" customFormat="1" ht="15" customHeight="1">
      <c r="B108" s="5"/>
      <c r="C108" s="5"/>
      <c r="E108" s="19"/>
      <c r="F108" s="19"/>
      <c r="G108" s="19"/>
      <c r="H108" s="19"/>
      <c r="I108" s="19"/>
      <c r="J108" s="19"/>
      <c r="L108" s="5"/>
      <c r="M108" s="5"/>
      <c r="O108" s="10"/>
      <c r="P108" s="10"/>
      <c r="S108" s="10"/>
      <c r="T108" s="10"/>
    </row>
    <row r="109" spans="2:20" s="4" customFormat="1" ht="15" customHeight="1">
      <c r="B109" s="5"/>
      <c r="C109" s="5"/>
      <c r="E109" s="19"/>
      <c r="F109" s="19"/>
      <c r="G109" s="19"/>
      <c r="H109" s="19"/>
      <c r="I109" s="19"/>
      <c r="J109" s="19"/>
      <c r="L109" s="5"/>
      <c r="M109" s="5"/>
      <c r="O109" s="10"/>
      <c r="P109" s="10"/>
      <c r="S109" s="10"/>
      <c r="T109" s="10"/>
    </row>
    <row r="110" spans="2:20" s="4" customFormat="1" ht="15" customHeight="1">
      <c r="B110" s="5"/>
      <c r="C110" s="5"/>
      <c r="E110" s="19"/>
      <c r="F110" s="19"/>
      <c r="G110" s="19"/>
      <c r="H110" s="19"/>
      <c r="I110" s="19"/>
      <c r="J110" s="19"/>
      <c r="L110" s="5"/>
      <c r="M110" s="5"/>
      <c r="O110" s="10"/>
      <c r="P110" s="10"/>
      <c r="S110" s="10"/>
      <c r="T110" s="10"/>
    </row>
    <row r="111" spans="2:20" s="4" customFormat="1" ht="15" customHeight="1">
      <c r="B111" s="5"/>
      <c r="C111" s="5"/>
      <c r="E111" s="19"/>
      <c r="F111" s="19"/>
      <c r="G111" s="19"/>
      <c r="H111" s="19"/>
      <c r="I111" s="19"/>
      <c r="J111" s="19"/>
      <c r="L111" s="5"/>
      <c r="M111" s="5"/>
      <c r="O111" s="10"/>
      <c r="P111" s="10"/>
      <c r="S111" s="10"/>
      <c r="T111" s="10"/>
    </row>
    <row r="112" spans="2:20" s="4" customFormat="1" ht="15" customHeight="1">
      <c r="B112" s="5"/>
      <c r="C112" s="5"/>
      <c r="E112" s="19"/>
      <c r="F112" s="19"/>
      <c r="G112" s="19"/>
      <c r="H112" s="19"/>
      <c r="I112" s="19"/>
      <c r="J112" s="19"/>
      <c r="L112" s="5"/>
      <c r="M112" s="5"/>
      <c r="O112" s="10"/>
      <c r="P112" s="10"/>
      <c r="S112" s="10"/>
      <c r="T112" s="10"/>
    </row>
    <row r="113" spans="2:22" s="4" customFormat="1" ht="15" customHeight="1">
      <c r="B113" s="5"/>
      <c r="C113" s="5"/>
      <c r="E113" s="19"/>
      <c r="F113" s="19"/>
      <c r="G113" s="19"/>
      <c r="H113" s="19"/>
      <c r="I113" s="19"/>
      <c r="J113" s="19"/>
      <c r="L113" s="5"/>
      <c r="M113" s="5"/>
      <c r="O113" s="10"/>
      <c r="P113" s="10"/>
      <c r="S113" s="10"/>
      <c r="T113" s="10"/>
    </row>
    <row r="114" spans="2:22" s="4" customFormat="1" ht="15" customHeight="1">
      <c r="B114" s="5"/>
      <c r="C114" s="5"/>
      <c r="E114" s="19"/>
      <c r="F114" s="19"/>
      <c r="G114" s="19"/>
      <c r="H114" s="19"/>
      <c r="I114" s="19"/>
      <c r="J114" s="19"/>
      <c r="L114" s="5"/>
      <c r="M114" s="5"/>
      <c r="O114" s="10"/>
      <c r="P114" s="10"/>
      <c r="S114" s="10"/>
      <c r="T114" s="10"/>
    </row>
    <row r="115" spans="2:22" s="4" customFormat="1" ht="15" customHeight="1">
      <c r="B115" s="5"/>
      <c r="C115" s="5"/>
      <c r="E115" s="19"/>
      <c r="F115" s="19"/>
      <c r="G115" s="19"/>
      <c r="H115" s="19"/>
      <c r="I115" s="19"/>
      <c r="J115" s="19"/>
      <c r="L115" s="5"/>
      <c r="M115" s="5"/>
      <c r="O115" s="10"/>
      <c r="P115" s="10"/>
      <c r="S115" s="10"/>
      <c r="T115" s="10"/>
    </row>
    <row r="116" spans="2:22" s="4" customFormat="1" ht="15" customHeight="1">
      <c r="B116" s="5"/>
      <c r="C116" s="5"/>
      <c r="E116" s="19"/>
      <c r="F116" s="19"/>
      <c r="G116" s="19"/>
      <c r="H116" s="19"/>
      <c r="I116" s="19"/>
      <c r="J116" s="19"/>
      <c r="L116" s="5"/>
      <c r="M116" s="5"/>
      <c r="O116" s="10"/>
      <c r="P116" s="10"/>
      <c r="S116" s="10"/>
      <c r="T116" s="10"/>
    </row>
    <row r="117" spans="2:22" s="4" customFormat="1" ht="15" customHeight="1">
      <c r="B117" s="5"/>
      <c r="C117" s="5"/>
      <c r="E117" s="19"/>
      <c r="F117" s="19"/>
      <c r="G117" s="19"/>
      <c r="H117" s="19"/>
      <c r="I117" s="19"/>
      <c r="J117" s="19"/>
      <c r="L117" s="5"/>
      <c r="M117" s="5"/>
      <c r="O117" s="10"/>
      <c r="P117" s="10"/>
      <c r="S117" s="10"/>
      <c r="T117" s="10"/>
    </row>
    <row r="118" spans="2:22" s="4" customFormat="1" ht="15" customHeight="1">
      <c r="B118" s="5"/>
      <c r="C118" s="5"/>
      <c r="E118" s="19"/>
      <c r="F118" s="19"/>
      <c r="G118" s="19"/>
      <c r="H118" s="19"/>
      <c r="I118" s="19"/>
      <c r="J118" s="19"/>
      <c r="L118" s="5"/>
      <c r="M118" s="5"/>
      <c r="O118" s="10"/>
      <c r="P118" s="19"/>
      <c r="S118" s="10"/>
      <c r="T118" s="10"/>
    </row>
    <row r="119" spans="2:22" s="4" customFormat="1" ht="15" customHeight="1">
      <c r="B119" s="5"/>
      <c r="C119" s="5"/>
      <c r="E119" s="19"/>
      <c r="F119" s="19"/>
      <c r="G119" s="19"/>
      <c r="H119" s="19"/>
      <c r="I119" s="19"/>
      <c r="J119" s="19"/>
      <c r="L119" s="5"/>
      <c r="M119" s="5"/>
      <c r="O119" s="10"/>
      <c r="P119" s="19"/>
      <c r="S119" s="10"/>
      <c r="T119" s="10"/>
    </row>
    <row r="120" spans="2:22" s="4" customFormat="1" ht="15" customHeight="1">
      <c r="B120" s="5"/>
      <c r="C120" s="5"/>
      <c r="E120" s="19"/>
      <c r="F120" s="19"/>
      <c r="G120" s="19"/>
      <c r="H120" s="19"/>
      <c r="I120" s="19"/>
      <c r="J120" s="19"/>
      <c r="L120" s="5"/>
      <c r="M120" s="5"/>
      <c r="O120" s="19"/>
      <c r="P120" s="19"/>
      <c r="S120" s="10"/>
      <c r="T120" s="10"/>
    </row>
    <row r="121" spans="2:22" s="4" customFormat="1" ht="15" customHeight="1">
      <c r="B121" s="5"/>
      <c r="C121" s="5"/>
      <c r="D121" s="5"/>
      <c r="E121" s="19"/>
      <c r="F121" s="19"/>
      <c r="G121" s="19"/>
      <c r="H121" s="19"/>
      <c r="I121" s="19"/>
      <c r="J121" s="19"/>
      <c r="L121" s="5"/>
      <c r="M121" s="5"/>
      <c r="O121" s="19"/>
      <c r="P121" s="19"/>
      <c r="S121" s="10"/>
      <c r="T121" s="10"/>
    </row>
    <row r="122" spans="2:22" s="4" customFormat="1" ht="15" customHeight="1">
      <c r="B122" s="5"/>
      <c r="C122" s="5"/>
      <c r="D122" s="5"/>
      <c r="E122" s="19"/>
      <c r="F122" s="19"/>
      <c r="G122" s="19"/>
      <c r="H122" s="19"/>
      <c r="I122" s="19"/>
      <c r="J122" s="19"/>
      <c r="L122" s="5"/>
      <c r="M122" s="5"/>
      <c r="O122" s="19"/>
      <c r="P122" s="19"/>
      <c r="S122" s="10"/>
      <c r="T122" s="10"/>
    </row>
    <row r="123" spans="2:22" s="4" customFormat="1" ht="15" customHeight="1">
      <c r="B123" s="5"/>
      <c r="C123" s="5"/>
      <c r="D123" s="5"/>
      <c r="E123" s="19"/>
      <c r="F123" s="19"/>
      <c r="G123" s="19"/>
      <c r="H123" s="19"/>
      <c r="I123" s="19"/>
      <c r="J123" s="19"/>
      <c r="L123" s="5"/>
      <c r="M123" s="5"/>
      <c r="O123" s="19"/>
      <c r="P123" s="19"/>
      <c r="S123" s="10"/>
      <c r="T123" s="10"/>
    </row>
    <row r="124" spans="2:22" s="4" customFormat="1" ht="15" customHeight="1">
      <c r="B124" s="5"/>
      <c r="C124" s="5"/>
      <c r="D124" s="5"/>
      <c r="E124" s="19"/>
      <c r="F124" s="19"/>
      <c r="G124" s="19"/>
      <c r="H124" s="19"/>
      <c r="I124" s="19"/>
      <c r="J124" s="19"/>
      <c r="L124" s="5"/>
      <c r="M124" s="5"/>
      <c r="N124" s="5"/>
      <c r="O124" s="19"/>
      <c r="P124" s="19"/>
      <c r="S124" s="10"/>
      <c r="T124" s="10"/>
    </row>
    <row r="125" spans="2:22" s="4" customFormat="1" ht="15" customHeight="1">
      <c r="B125" s="5"/>
      <c r="C125" s="5"/>
      <c r="D125" s="5"/>
      <c r="E125" s="19"/>
      <c r="F125" s="19"/>
      <c r="G125" s="19"/>
      <c r="H125" s="19"/>
      <c r="I125" s="19"/>
      <c r="J125" s="19"/>
      <c r="L125" s="5"/>
      <c r="M125" s="5"/>
      <c r="N125" s="5"/>
      <c r="O125" s="19"/>
      <c r="P125" s="19"/>
      <c r="S125" s="10"/>
      <c r="T125" s="10"/>
    </row>
    <row r="126" spans="2:22" s="4" customFormat="1" ht="15" customHeight="1">
      <c r="B126" s="5"/>
      <c r="C126" s="5"/>
      <c r="D126" s="5"/>
      <c r="E126" s="19"/>
      <c r="F126" s="19"/>
      <c r="G126" s="19"/>
      <c r="H126" s="19"/>
      <c r="I126" s="19"/>
      <c r="J126" s="19"/>
      <c r="L126" s="5"/>
      <c r="M126" s="5"/>
      <c r="N126" s="5"/>
      <c r="O126" s="19"/>
      <c r="P126" s="19"/>
      <c r="R126" s="5"/>
      <c r="S126" s="19"/>
      <c r="T126" s="19"/>
      <c r="V126" s="5"/>
    </row>
    <row r="127" spans="2:22" s="4" customFormat="1" ht="15" customHeight="1">
      <c r="B127" s="5"/>
      <c r="C127" s="5"/>
      <c r="D127" s="5"/>
      <c r="E127" s="19"/>
      <c r="F127" s="19"/>
      <c r="G127" s="19"/>
      <c r="H127" s="19"/>
      <c r="I127" s="19"/>
      <c r="J127" s="19"/>
      <c r="L127" s="5"/>
      <c r="M127" s="5"/>
      <c r="N127" s="5"/>
      <c r="O127" s="19"/>
      <c r="P127" s="19"/>
      <c r="R127" s="5"/>
      <c r="S127" s="19"/>
      <c r="T127" s="19"/>
      <c r="V127" s="5"/>
    </row>
  </sheetData>
  <mergeCells count="15">
    <mergeCell ref="B1:I1"/>
    <mergeCell ref="L34:M34"/>
    <mergeCell ref="B2:C6"/>
    <mergeCell ref="L2:N2"/>
    <mergeCell ref="B20:C23"/>
    <mergeCell ref="D23:D24"/>
    <mergeCell ref="B24:C24"/>
    <mergeCell ref="B26:J26"/>
    <mergeCell ref="B34:C34"/>
    <mergeCell ref="E34:J34"/>
    <mergeCell ref="B7:C13"/>
    <mergeCell ref="B14:C19"/>
    <mergeCell ref="L18:N18"/>
    <mergeCell ref="L27:N27"/>
    <mergeCell ref="L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744-60D6-4BEC-9CB6-E8CE9647B75B}">
  <dimension ref="A1:AG129"/>
  <sheetViews>
    <sheetView zoomScale="70" zoomScaleNormal="70" workbookViewId="0">
      <selection activeCell="X19" sqref="X19"/>
    </sheetView>
  </sheetViews>
  <sheetFormatPr defaultColWidth="9.140625" defaultRowHeight="15" customHeight="1"/>
  <cols>
    <col min="1" max="1" width="9.140625" style="4"/>
    <col min="2" max="2" width="21" style="5" customWidth="1"/>
    <col min="3" max="3" width="19.7109375" style="5" customWidth="1"/>
    <col min="4" max="4" width="23" style="5" customWidth="1"/>
    <col min="5" max="5" width="19" style="19" customWidth="1"/>
    <col min="6" max="6" width="13.85546875" style="19" customWidth="1"/>
    <col min="7" max="7" width="13" style="4" customWidth="1"/>
    <col min="8" max="8" width="14" style="5" customWidth="1"/>
    <col min="9" max="9" width="18.140625" style="5" customWidth="1"/>
    <col min="10" max="10" width="7.28515625" style="5" customWidth="1"/>
    <col min="11" max="11" width="2.85546875" style="19" customWidth="1"/>
    <col min="12" max="12" width="19.7109375" style="19" customWidth="1"/>
    <col min="13" max="13" width="14.5703125" style="4" customWidth="1"/>
    <col min="14" max="14" width="14.5703125" style="5" customWidth="1"/>
    <col min="15" max="16" width="14.5703125" style="19" customWidth="1"/>
    <col min="17" max="17" width="14.5703125" style="4" customWidth="1"/>
    <col min="18" max="18" width="14.5703125" style="5" customWidth="1"/>
    <col min="19" max="23" width="16.7109375" style="5" customWidth="1"/>
    <col min="24" max="24" width="16.7109375" style="4" customWidth="1"/>
    <col min="25" max="33" width="9.140625" style="4"/>
    <col min="34" max="16384" width="9.140625" style="5"/>
  </cols>
  <sheetData>
    <row r="1" spans="2:33" s="4" customFormat="1" ht="39" customHeight="1">
      <c r="B1" s="67" t="s">
        <v>0</v>
      </c>
      <c r="C1" s="67"/>
      <c r="D1" s="67"/>
      <c r="E1" s="67"/>
      <c r="F1" s="67"/>
      <c r="G1" s="67"/>
      <c r="H1" s="67"/>
      <c r="I1" s="67"/>
    </row>
    <row r="2" spans="2:33" ht="18" customHeight="1">
      <c r="B2" s="70" t="s">
        <v>2</v>
      </c>
      <c r="C2" s="71"/>
      <c r="D2" s="22" t="s">
        <v>3</v>
      </c>
      <c r="E2" s="21" t="s">
        <v>151</v>
      </c>
      <c r="F2" s="21" t="s">
        <v>26</v>
      </c>
      <c r="G2" s="21" t="s">
        <v>28</v>
      </c>
      <c r="H2" s="21" t="s">
        <v>152</v>
      </c>
      <c r="I2" s="21" t="s">
        <v>4</v>
      </c>
      <c r="K2" s="4"/>
      <c r="L2" s="81" t="s">
        <v>7</v>
      </c>
      <c r="M2" s="82"/>
      <c r="N2" s="82"/>
      <c r="O2" s="4"/>
      <c r="P2" s="4"/>
      <c r="Q2" s="64" t="s">
        <v>8</v>
      </c>
      <c r="R2" s="65" t="s">
        <v>9</v>
      </c>
      <c r="S2" s="4"/>
      <c r="T2" s="4"/>
      <c r="U2" s="64" t="s">
        <v>10</v>
      </c>
      <c r="V2" s="65" t="s">
        <v>9</v>
      </c>
      <c r="W2" s="4"/>
      <c r="Y2" s="64" t="s">
        <v>11</v>
      </c>
      <c r="Z2" s="65" t="s">
        <v>9</v>
      </c>
      <c r="AC2" s="64" t="s">
        <v>12</v>
      </c>
      <c r="AD2" s="65" t="s">
        <v>9</v>
      </c>
      <c r="AE2" s="5"/>
      <c r="AF2" s="5"/>
      <c r="AG2" s="5"/>
    </row>
    <row r="3" spans="2:33" ht="15.75" customHeight="1">
      <c r="B3" s="72"/>
      <c r="C3" s="73"/>
      <c r="D3" s="6" t="s">
        <v>20</v>
      </c>
      <c r="E3" s="7">
        <v>139</v>
      </c>
      <c r="F3" s="7">
        <v>1</v>
      </c>
      <c r="G3" s="7">
        <v>0</v>
      </c>
      <c r="H3" s="7">
        <v>2</v>
      </c>
      <c r="I3" s="7">
        <f>SUM(E3:H3)</f>
        <v>142</v>
      </c>
      <c r="K3" s="4"/>
      <c r="L3" s="26" t="s">
        <v>17</v>
      </c>
      <c r="M3" s="26" t="s">
        <v>18</v>
      </c>
      <c r="N3" s="26" t="s">
        <v>16</v>
      </c>
      <c r="O3" s="4"/>
      <c r="P3" s="50" t="s">
        <v>19</v>
      </c>
      <c r="Q3" s="66">
        <f>N4</f>
        <v>0</v>
      </c>
      <c r="R3" s="63">
        <f>Q3/Q5</f>
        <v>0</v>
      </c>
      <c r="S3" s="4"/>
      <c r="T3" s="50" t="s">
        <v>19</v>
      </c>
      <c r="U3" s="66">
        <f>M5</f>
        <v>0</v>
      </c>
      <c r="V3" s="63" t="e">
        <f>U3/U5</f>
        <v>#DIV/0!</v>
      </c>
      <c r="W3" s="4"/>
      <c r="X3" s="50" t="s">
        <v>19</v>
      </c>
      <c r="Y3" s="66">
        <f>N6</f>
        <v>0</v>
      </c>
      <c r="Z3" s="63" t="e">
        <f>Y3/Y5</f>
        <v>#DIV/0!</v>
      </c>
      <c r="AB3" s="50" t="s">
        <v>19</v>
      </c>
      <c r="AC3" s="66">
        <f>N7</f>
        <v>0</v>
      </c>
      <c r="AD3" s="63" t="e">
        <f>AC3/AC5</f>
        <v>#DIV/0!</v>
      </c>
      <c r="AE3" s="5"/>
      <c r="AF3" s="5"/>
      <c r="AG3" s="5"/>
    </row>
    <row r="4" spans="2:33" ht="15.75" customHeight="1">
      <c r="B4" s="72"/>
      <c r="C4" s="73"/>
      <c r="D4" s="6" t="s">
        <v>21</v>
      </c>
      <c r="E4" s="7">
        <v>155</v>
      </c>
      <c r="F4" s="7">
        <v>1</v>
      </c>
      <c r="G4" s="7">
        <v>1</v>
      </c>
      <c r="H4" s="7">
        <v>1</v>
      </c>
      <c r="I4" s="7">
        <f t="shared" ref="I4:I5" si="0">SUM(E4:H4)</f>
        <v>158</v>
      </c>
      <c r="K4" s="4"/>
      <c r="L4" s="2" t="s">
        <v>22</v>
      </c>
      <c r="M4" s="8"/>
      <c r="N4" s="9">
        <f>SUM(M4:M4)</f>
        <v>0</v>
      </c>
      <c r="O4" s="4"/>
      <c r="P4" s="53" t="s">
        <v>23</v>
      </c>
      <c r="Q4" s="33">
        <v>28</v>
      </c>
      <c r="R4" s="63">
        <f>Q4/Q5</f>
        <v>1</v>
      </c>
      <c r="S4" s="4"/>
      <c r="T4" s="53" t="s">
        <v>23</v>
      </c>
      <c r="U4" s="33">
        <f>R13</f>
        <v>0</v>
      </c>
      <c r="V4" s="63" t="e">
        <f>U4/U5</f>
        <v>#DIV/0!</v>
      </c>
      <c r="W4" s="4"/>
      <c r="X4" s="53" t="s">
        <v>23</v>
      </c>
      <c r="Y4" s="33">
        <f>R14</f>
        <v>0</v>
      </c>
      <c r="Z4" s="63" t="e">
        <f>Y4/Y5</f>
        <v>#DIV/0!</v>
      </c>
      <c r="AB4" s="53" t="s">
        <v>23</v>
      </c>
      <c r="AC4" s="33">
        <f>U23</f>
        <v>0</v>
      </c>
      <c r="AD4" s="63" t="e">
        <f>AC4/AC5</f>
        <v>#DIV/0!</v>
      </c>
      <c r="AE4" s="5"/>
      <c r="AF4" s="5"/>
      <c r="AG4" s="5"/>
    </row>
    <row r="5" spans="2:33" ht="15.75" customHeight="1">
      <c r="B5" s="72"/>
      <c r="C5" s="73"/>
      <c r="D5" s="6" t="s">
        <v>29</v>
      </c>
      <c r="E5" s="7">
        <v>11</v>
      </c>
      <c r="F5" s="7">
        <v>1</v>
      </c>
      <c r="G5" s="7">
        <v>0</v>
      </c>
      <c r="H5" s="7">
        <v>0</v>
      </c>
      <c r="I5" s="7">
        <f t="shared" si="0"/>
        <v>12</v>
      </c>
      <c r="K5" s="4"/>
      <c r="L5" s="2" t="s">
        <v>26</v>
      </c>
      <c r="M5" s="8"/>
      <c r="N5" s="9">
        <f>SUM(M5:M5)</f>
        <v>0</v>
      </c>
      <c r="O5" s="4"/>
      <c r="P5" s="51" t="s">
        <v>16</v>
      </c>
      <c r="Q5" s="52">
        <f>Q3+Q4</f>
        <v>28</v>
      </c>
      <c r="R5" s="33">
        <v>100</v>
      </c>
      <c r="S5" s="4"/>
      <c r="T5" s="51" t="s">
        <v>16</v>
      </c>
      <c r="U5" s="52">
        <f>U3+U4</f>
        <v>0</v>
      </c>
      <c r="V5" s="33">
        <v>100</v>
      </c>
      <c r="W5" s="4"/>
      <c r="X5" s="51" t="s">
        <v>16</v>
      </c>
      <c r="Y5" s="52">
        <f>Y3+Y4</f>
        <v>0</v>
      </c>
      <c r="Z5" s="33">
        <v>100</v>
      </c>
      <c r="AB5" s="51" t="s">
        <v>16</v>
      </c>
      <c r="AC5" s="52">
        <f>AC3+AC4</f>
        <v>0</v>
      </c>
      <c r="AD5" s="33">
        <v>100</v>
      </c>
      <c r="AE5" s="5"/>
      <c r="AF5" s="5"/>
      <c r="AG5" s="5"/>
    </row>
    <row r="6" spans="2:33" ht="15.75" customHeight="1">
      <c r="B6" s="74"/>
      <c r="C6" s="75"/>
      <c r="D6" s="24" t="s">
        <v>30</v>
      </c>
      <c r="E6" s="23">
        <f t="shared" ref="E6:H6" si="1">SUM(E3:E5)</f>
        <v>305</v>
      </c>
      <c r="F6" s="23">
        <f t="shared" si="1"/>
        <v>3</v>
      </c>
      <c r="G6" s="23">
        <f t="shared" si="1"/>
        <v>1</v>
      </c>
      <c r="H6" s="23">
        <f t="shared" si="1"/>
        <v>3</v>
      </c>
      <c r="I6" s="23">
        <f>SUM(I3:I5)</f>
        <v>312</v>
      </c>
      <c r="K6" s="4"/>
      <c r="L6" s="2" t="s">
        <v>28</v>
      </c>
      <c r="M6" s="8"/>
      <c r="N6" s="9">
        <f>SUM(M6:M6)</f>
        <v>0</v>
      </c>
      <c r="O6" s="4"/>
      <c r="P6" s="4"/>
      <c r="R6" s="4"/>
      <c r="S6" s="4"/>
      <c r="T6" s="4"/>
      <c r="U6" s="4"/>
      <c r="V6" s="4"/>
      <c r="W6" s="4"/>
      <c r="AB6" s="5"/>
      <c r="AC6" s="5"/>
      <c r="AD6" s="5"/>
      <c r="AE6" s="5"/>
      <c r="AF6" s="5"/>
      <c r="AG6" s="5"/>
    </row>
    <row r="7" spans="2:33" ht="15.75" customHeight="1">
      <c r="B7" s="70" t="s">
        <v>32</v>
      </c>
      <c r="C7" s="71"/>
      <c r="D7" s="22" t="s">
        <v>33</v>
      </c>
      <c r="E7" s="21" t="s">
        <v>151</v>
      </c>
      <c r="F7" s="21" t="s">
        <v>26</v>
      </c>
      <c r="G7" s="21" t="s">
        <v>28</v>
      </c>
      <c r="H7" s="21" t="s">
        <v>152</v>
      </c>
      <c r="I7" s="21" t="s">
        <v>4</v>
      </c>
      <c r="K7" s="4"/>
      <c r="L7" s="2" t="s">
        <v>1</v>
      </c>
      <c r="M7" s="8"/>
      <c r="N7" s="9">
        <f>SUM(M7:M7)</f>
        <v>0</v>
      </c>
      <c r="O7" s="4"/>
      <c r="P7" s="4"/>
      <c r="R7" s="4"/>
      <c r="S7" s="4"/>
      <c r="T7" s="4"/>
      <c r="U7" s="4"/>
      <c r="V7" s="4"/>
      <c r="W7" s="4"/>
      <c r="AB7" s="5"/>
      <c r="AC7" s="5"/>
      <c r="AD7" s="5"/>
      <c r="AE7" s="5"/>
      <c r="AF7" s="5"/>
      <c r="AG7" s="5"/>
    </row>
    <row r="8" spans="2:33" ht="15.75" customHeight="1">
      <c r="B8" s="72"/>
      <c r="C8" s="73"/>
      <c r="D8" s="6" t="s">
        <v>27</v>
      </c>
      <c r="E8" s="7">
        <v>155</v>
      </c>
      <c r="F8" s="7">
        <v>1</v>
      </c>
      <c r="G8" s="7">
        <v>2</v>
      </c>
      <c r="H8" s="7">
        <v>1</v>
      </c>
      <c r="I8" s="7">
        <v>159</v>
      </c>
      <c r="K8" s="4"/>
      <c r="L8" s="27" t="s">
        <v>31</v>
      </c>
      <c r="M8" s="27">
        <f>SUM(M4:M7)</f>
        <v>0</v>
      </c>
      <c r="N8" s="27">
        <f>SUM(N4:N7)</f>
        <v>0</v>
      </c>
      <c r="O8" s="4"/>
      <c r="P8" s="4"/>
      <c r="R8" s="4"/>
      <c r="S8" s="4"/>
      <c r="T8" s="4"/>
      <c r="U8" s="4"/>
      <c r="V8" s="4"/>
      <c r="W8" s="4"/>
      <c r="AB8" s="5"/>
      <c r="AC8" s="5"/>
      <c r="AD8" s="5"/>
      <c r="AE8" s="5"/>
      <c r="AF8" s="5"/>
      <c r="AG8" s="5"/>
    </row>
    <row r="9" spans="2:33" ht="15.75" customHeight="1">
      <c r="B9" s="72"/>
      <c r="C9" s="73"/>
      <c r="D9" s="6" t="s">
        <v>39</v>
      </c>
      <c r="E9" s="7">
        <v>108</v>
      </c>
      <c r="F9" s="7">
        <v>1</v>
      </c>
      <c r="G9" s="7">
        <v>4</v>
      </c>
      <c r="H9" s="7">
        <v>22</v>
      </c>
      <c r="I9" s="7">
        <v>135</v>
      </c>
      <c r="K9" s="4"/>
      <c r="L9" s="4"/>
      <c r="M9" s="10"/>
      <c r="N9" s="4"/>
      <c r="O9" s="4"/>
      <c r="P9" s="4"/>
      <c r="R9" s="4"/>
      <c r="S9" s="4"/>
      <c r="T9" s="4"/>
      <c r="U9" s="4"/>
      <c r="V9" s="4"/>
      <c r="W9" s="4"/>
      <c r="AF9" s="5"/>
      <c r="AG9" s="5"/>
    </row>
    <row r="10" spans="2:33" ht="15.75" customHeight="1">
      <c r="B10" s="72"/>
      <c r="C10" s="73"/>
      <c r="D10" s="6" t="s">
        <v>36</v>
      </c>
      <c r="E10" s="7">
        <v>183</v>
      </c>
      <c r="F10" s="7">
        <v>2</v>
      </c>
      <c r="G10" s="7">
        <v>34</v>
      </c>
      <c r="H10" s="7">
        <v>7</v>
      </c>
      <c r="I10" s="7">
        <v>226</v>
      </c>
      <c r="K10" s="4"/>
      <c r="L10" s="76" t="s">
        <v>35</v>
      </c>
      <c r="M10" s="68"/>
      <c r="N10" s="68"/>
      <c r="O10" s="68"/>
      <c r="P10" s="4"/>
      <c r="R10" s="4"/>
      <c r="S10" s="4"/>
      <c r="T10" s="4"/>
      <c r="U10" s="4"/>
      <c r="V10" s="4"/>
      <c r="W10" s="4"/>
      <c r="AC10" s="5"/>
      <c r="AD10" s="5"/>
      <c r="AE10" s="5"/>
      <c r="AF10" s="5"/>
      <c r="AG10" s="5"/>
    </row>
    <row r="11" spans="2:33" ht="15.75" customHeight="1">
      <c r="B11" s="72"/>
      <c r="C11" s="73"/>
      <c r="D11" s="6" t="s">
        <v>40</v>
      </c>
      <c r="E11" s="7">
        <v>181</v>
      </c>
      <c r="F11" s="7">
        <v>0</v>
      </c>
      <c r="G11" s="7">
        <v>12</v>
      </c>
      <c r="H11" s="7">
        <v>4</v>
      </c>
      <c r="I11" s="7">
        <v>197</v>
      </c>
      <c r="K11" s="4"/>
      <c r="L11" s="26" t="s">
        <v>17</v>
      </c>
      <c r="M11" s="26" t="s">
        <v>20</v>
      </c>
      <c r="N11" s="26" t="s">
        <v>37</v>
      </c>
      <c r="O11" s="26" t="s">
        <v>21</v>
      </c>
      <c r="P11" s="26" t="s">
        <v>16</v>
      </c>
      <c r="R11" s="4"/>
      <c r="S11" s="4"/>
      <c r="T11" s="4"/>
      <c r="U11" s="4"/>
      <c r="V11" s="4"/>
      <c r="W11" s="4"/>
      <c r="AC11" s="5"/>
      <c r="AD11" s="5"/>
      <c r="AE11" s="5"/>
      <c r="AF11" s="5"/>
      <c r="AG11" s="5"/>
    </row>
    <row r="12" spans="2:33" ht="15.75" customHeight="1">
      <c r="B12" s="72"/>
      <c r="C12" s="73"/>
      <c r="D12" s="6" t="s">
        <v>34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K12" s="4"/>
      <c r="L12" s="11" t="s">
        <v>22</v>
      </c>
      <c r="M12" s="8"/>
      <c r="N12" s="8"/>
      <c r="O12" s="8"/>
      <c r="P12" s="8">
        <f t="shared" ref="P12:P13" si="2">SUM(M12:O12)</f>
        <v>0</v>
      </c>
      <c r="R12" s="4"/>
      <c r="S12" s="4"/>
      <c r="T12" s="4"/>
      <c r="U12" s="4"/>
      <c r="V12" s="4"/>
      <c r="W12" s="4"/>
      <c r="AB12" s="5"/>
      <c r="AC12" s="5"/>
      <c r="AD12" s="5"/>
      <c r="AE12" s="5"/>
      <c r="AF12" s="5"/>
      <c r="AG12" s="5"/>
    </row>
    <row r="13" spans="2:33" ht="15.75" customHeight="1">
      <c r="B13" s="74"/>
      <c r="C13" s="75"/>
      <c r="D13" s="24" t="s">
        <v>30</v>
      </c>
      <c r="E13" s="23">
        <f t="shared" ref="E13:H13" si="3">SUM(E8:E12)</f>
        <v>627</v>
      </c>
      <c r="F13" s="23">
        <f t="shared" si="3"/>
        <v>4</v>
      </c>
      <c r="G13" s="23">
        <f t="shared" si="3"/>
        <v>52</v>
      </c>
      <c r="H13" s="23">
        <f t="shared" si="3"/>
        <v>34</v>
      </c>
      <c r="I13" s="23">
        <f>SUM(I8:I12)</f>
        <v>717</v>
      </c>
      <c r="K13" s="4"/>
      <c r="L13" s="11" t="s">
        <v>26</v>
      </c>
      <c r="M13" s="8"/>
      <c r="N13" s="12"/>
      <c r="O13" s="12"/>
      <c r="P13" s="8">
        <f t="shared" si="2"/>
        <v>0</v>
      </c>
      <c r="R13" s="4"/>
      <c r="S13" s="4"/>
      <c r="T13" s="4"/>
      <c r="U13" s="4"/>
      <c r="V13" s="4"/>
      <c r="W13" s="4"/>
      <c r="AB13" s="5"/>
      <c r="AC13" s="5"/>
      <c r="AD13" s="5"/>
      <c r="AE13" s="5"/>
      <c r="AF13" s="5"/>
      <c r="AG13" s="5"/>
    </row>
    <row r="14" spans="2:33" ht="15.75" customHeight="1">
      <c r="B14" s="70" t="s">
        <v>44</v>
      </c>
      <c r="C14" s="71"/>
      <c r="D14" s="22" t="s">
        <v>19</v>
      </c>
      <c r="E14" s="21" t="s">
        <v>151</v>
      </c>
      <c r="F14" s="21" t="s">
        <v>26</v>
      </c>
      <c r="G14" s="21" t="s">
        <v>28</v>
      </c>
      <c r="H14" s="21" t="s">
        <v>152</v>
      </c>
      <c r="I14" s="21" t="s">
        <v>4</v>
      </c>
      <c r="K14" s="4"/>
      <c r="L14" s="13" t="s">
        <v>28</v>
      </c>
      <c r="M14" s="8"/>
      <c r="N14" s="7"/>
      <c r="O14" s="7"/>
      <c r="P14" s="8">
        <f>SUM(M14:O14)</f>
        <v>0</v>
      </c>
      <c r="R14" s="4"/>
      <c r="S14" s="4"/>
      <c r="T14" s="4"/>
      <c r="U14" s="4"/>
      <c r="V14" s="4"/>
      <c r="W14" s="4"/>
      <c r="AB14" s="5"/>
      <c r="AC14" s="5"/>
      <c r="AD14" s="5"/>
      <c r="AE14" s="5"/>
      <c r="AF14" s="5"/>
      <c r="AG14" s="5"/>
    </row>
    <row r="15" spans="2:33" ht="15.75" customHeight="1">
      <c r="B15" s="72"/>
      <c r="C15" s="73"/>
      <c r="D15" s="14" t="s">
        <v>49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K15" s="4"/>
      <c r="L15" s="13" t="s">
        <v>1</v>
      </c>
      <c r="M15" s="8"/>
      <c r="N15" s="7"/>
      <c r="O15" s="7"/>
      <c r="P15" s="8">
        <f>SUM(M15:O15)</f>
        <v>0</v>
      </c>
      <c r="R15" s="4"/>
      <c r="S15" s="4"/>
      <c r="T15" s="4"/>
      <c r="U15" s="4"/>
      <c r="V15" s="4"/>
      <c r="W15" s="4"/>
      <c r="AB15" s="5"/>
      <c r="AC15" s="5"/>
      <c r="AD15" s="5"/>
      <c r="AE15" s="5"/>
      <c r="AF15" s="5"/>
      <c r="AG15" s="5"/>
    </row>
    <row r="16" spans="2:33" ht="15.75" customHeight="1">
      <c r="B16" s="72"/>
      <c r="C16" s="73"/>
      <c r="D16" s="14" t="s">
        <v>46</v>
      </c>
      <c r="E16" s="7">
        <v>253</v>
      </c>
      <c r="F16" s="7">
        <v>1</v>
      </c>
      <c r="G16" s="7">
        <v>46</v>
      </c>
      <c r="H16" s="7">
        <v>31</v>
      </c>
      <c r="I16" s="7">
        <v>331</v>
      </c>
      <c r="K16" s="4"/>
      <c r="L16" s="27" t="s">
        <v>31</v>
      </c>
      <c r="M16" s="27">
        <f>SUM(M12:M15)</f>
        <v>0</v>
      </c>
      <c r="N16" s="27">
        <f>SUM(N12:N15)</f>
        <v>0</v>
      </c>
      <c r="O16" s="27">
        <f>SUM(O12:O15)</f>
        <v>0</v>
      </c>
      <c r="P16" s="27">
        <f>SUM(P12:P15)</f>
        <v>0</v>
      </c>
      <c r="R16" s="4"/>
      <c r="S16" s="4"/>
      <c r="T16" s="4"/>
      <c r="U16" s="4"/>
      <c r="V16" s="4"/>
      <c r="W16" s="4"/>
      <c r="AB16" s="5"/>
      <c r="AC16" s="5"/>
      <c r="AD16" s="5"/>
      <c r="AE16" s="5"/>
      <c r="AF16" s="5"/>
      <c r="AG16" s="5"/>
    </row>
    <row r="17" spans="2:33" ht="15.75" customHeight="1">
      <c r="B17" s="72"/>
      <c r="C17" s="73"/>
      <c r="D17" s="14" t="s">
        <v>132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K17" s="4"/>
      <c r="P17" s="4"/>
      <c r="R17" s="4"/>
      <c r="S17" s="4"/>
      <c r="T17" s="4"/>
      <c r="U17" s="4"/>
      <c r="V17" s="4"/>
      <c r="W17" s="4"/>
      <c r="AE17" s="5"/>
      <c r="AF17" s="5"/>
      <c r="AG17" s="5"/>
    </row>
    <row r="18" spans="2:33" ht="15.75" customHeight="1">
      <c r="B18" s="72"/>
      <c r="C18" s="73"/>
      <c r="D18" s="6" t="s">
        <v>50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K18" s="4"/>
      <c r="L18" s="76" t="s">
        <v>45</v>
      </c>
      <c r="M18" s="68"/>
      <c r="N18" s="68"/>
      <c r="R18" s="4"/>
      <c r="S18" s="4"/>
      <c r="T18" s="4"/>
      <c r="U18" s="4"/>
      <c r="V18" s="4"/>
      <c r="W18" s="4"/>
      <c r="AE18" s="5"/>
      <c r="AF18" s="5"/>
      <c r="AG18" s="5"/>
    </row>
    <row r="19" spans="2:33" ht="15.75" customHeight="1">
      <c r="B19" s="74"/>
      <c r="C19" s="75"/>
      <c r="D19" s="24" t="s">
        <v>30</v>
      </c>
      <c r="E19" s="23">
        <f t="shared" ref="E19:H19" si="4">SUM(E15:E18)</f>
        <v>253</v>
      </c>
      <c r="F19" s="23">
        <f t="shared" si="4"/>
        <v>1</v>
      </c>
      <c r="G19" s="23">
        <f t="shared" si="4"/>
        <v>46</v>
      </c>
      <c r="H19" s="23">
        <f t="shared" si="4"/>
        <v>31</v>
      </c>
      <c r="I19" s="23">
        <f>SUM(I15:I18)</f>
        <v>331</v>
      </c>
      <c r="K19" s="4"/>
      <c r="L19" s="26" t="s">
        <v>17</v>
      </c>
      <c r="M19" s="26" t="s">
        <v>27</v>
      </c>
      <c r="N19" s="26" t="s">
        <v>36</v>
      </c>
      <c r="O19" s="26" t="s">
        <v>40</v>
      </c>
      <c r="P19" s="26" t="s">
        <v>39</v>
      </c>
      <c r="Q19" s="26" t="s">
        <v>16</v>
      </c>
      <c r="R19" s="4"/>
      <c r="S19" s="4"/>
      <c r="T19" s="4"/>
      <c r="U19" s="4"/>
      <c r="V19" s="4"/>
      <c r="W19" s="4"/>
      <c r="AD19" s="5"/>
      <c r="AE19" s="5"/>
      <c r="AF19" s="5"/>
      <c r="AG19" s="5"/>
    </row>
    <row r="20" spans="2:33" ht="15.75" customHeight="1">
      <c r="B20" s="70" t="s">
        <v>52</v>
      </c>
      <c r="C20" s="71"/>
      <c r="D20" s="22" t="s">
        <v>53</v>
      </c>
      <c r="E20" s="21" t="s">
        <v>151</v>
      </c>
      <c r="F20" s="21" t="s">
        <v>26</v>
      </c>
      <c r="G20" s="21" t="s">
        <v>28</v>
      </c>
      <c r="H20" s="21" t="s">
        <v>152</v>
      </c>
      <c r="I20" s="21" t="s">
        <v>4</v>
      </c>
      <c r="K20" s="4"/>
      <c r="L20" s="11" t="s">
        <v>22</v>
      </c>
      <c r="M20" s="8">
        <v>8</v>
      </c>
      <c r="N20" s="8">
        <v>13</v>
      </c>
      <c r="O20" s="8">
        <v>13</v>
      </c>
      <c r="P20" s="8">
        <v>9</v>
      </c>
      <c r="Q20" s="9">
        <f>SUM(M20:P20)</f>
        <v>43</v>
      </c>
      <c r="R20" s="4"/>
      <c r="S20" s="4"/>
      <c r="T20" s="4"/>
      <c r="U20" s="4"/>
      <c r="V20" s="4"/>
      <c r="W20" s="4"/>
      <c r="AE20" s="5"/>
      <c r="AF20" s="5"/>
      <c r="AG20" s="5"/>
    </row>
    <row r="21" spans="2:33" ht="15.75" customHeight="1">
      <c r="B21" s="72"/>
      <c r="C21" s="73"/>
      <c r="D21" s="6" t="s">
        <v>56</v>
      </c>
      <c r="E21" s="7">
        <v>3</v>
      </c>
      <c r="F21" s="7">
        <v>0</v>
      </c>
      <c r="G21" s="7">
        <v>0</v>
      </c>
      <c r="H21" s="7">
        <v>0</v>
      </c>
      <c r="I21" s="7">
        <v>3</v>
      </c>
      <c r="K21" s="4"/>
      <c r="L21" s="11" t="s">
        <v>26</v>
      </c>
      <c r="M21" s="12">
        <v>7</v>
      </c>
      <c r="N21" s="12">
        <v>6</v>
      </c>
      <c r="O21" s="12">
        <v>7</v>
      </c>
      <c r="P21" s="12">
        <v>3</v>
      </c>
      <c r="Q21" s="9">
        <f t="shared" ref="Q21:Q24" si="5">SUM(M21:P21)</f>
        <v>23</v>
      </c>
      <c r="R21" s="4"/>
      <c r="S21" s="4"/>
      <c r="T21" s="4"/>
      <c r="U21" s="4"/>
      <c r="V21" s="4"/>
      <c r="W21" s="4"/>
      <c r="AE21" s="5"/>
      <c r="AF21" s="5"/>
      <c r="AG21" s="5"/>
    </row>
    <row r="22" spans="2:33" ht="15.75" customHeight="1">
      <c r="B22" s="72"/>
      <c r="C22" s="73"/>
      <c r="D22" s="6" t="s">
        <v>55</v>
      </c>
      <c r="E22" s="7">
        <v>0</v>
      </c>
      <c r="F22" s="7">
        <v>0</v>
      </c>
      <c r="G22" s="7">
        <v>2</v>
      </c>
      <c r="H22" s="7">
        <v>0</v>
      </c>
      <c r="I22" s="7">
        <v>2</v>
      </c>
      <c r="K22" s="4"/>
      <c r="L22" s="13" t="s">
        <v>28</v>
      </c>
      <c r="M22" s="7">
        <v>5</v>
      </c>
      <c r="N22" s="7">
        <v>8</v>
      </c>
      <c r="O22" s="7">
        <v>2</v>
      </c>
      <c r="P22" s="7">
        <v>1</v>
      </c>
      <c r="Q22" s="9">
        <f>SUM(M22:P22)</f>
        <v>16</v>
      </c>
      <c r="R22" s="4"/>
      <c r="S22" s="4"/>
      <c r="T22" s="4"/>
      <c r="U22" s="4"/>
      <c r="V22" s="4"/>
      <c r="W22" s="4"/>
      <c r="AE22" s="5"/>
      <c r="AF22" s="5"/>
      <c r="AG22" s="5"/>
    </row>
    <row r="23" spans="2:33" ht="15.75" customHeight="1">
      <c r="B23" s="74"/>
      <c r="C23" s="75"/>
      <c r="D23" s="77" t="s">
        <v>30</v>
      </c>
      <c r="E23" s="23"/>
      <c r="F23" s="23"/>
      <c r="G23" s="23"/>
      <c r="H23" s="23"/>
      <c r="I23" s="23">
        <f>SUM(I21:I22)</f>
        <v>5</v>
      </c>
      <c r="K23" s="4"/>
      <c r="L23" s="13" t="s">
        <v>1</v>
      </c>
      <c r="M23" s="7">
        <v>1</v>
      </c>
      <c r="N23" s="7">
        <v>4</v>
      </c>
      <c r="O23" s="7">
        <v>3</v>
      </c>
      <c r="P23" s="7">
        <v>0</v>
      </c>
      <c r="Q23" s="9">
        <f>SUM(M23:P23)</f>
        <v>8</v>
      </c>
      <c r="R23" s="3"/>
      <c r="S23" s="3"/>
      <c r="T23" s="4"/>
      <c r="U23" s="4"/>
      <c r="V23" s="4"/>
      <c r="W23" s="4"/>
      <c r="AF23" s="5"/>
      <c r="AG23" s="5"/>
    </row>
    <row r="24" spans="2:33" ht="15.75" customHeight="1">
      <c r="B24" s="79" t="s">
        <v>58</v>
      </c>
      <c r="C24" s="80"/>
      <c r="D24" s="78"/>
      <c r="E24" s="23">
        <f>+E6+E13+E19+E23</f>
        <v>1185</v>
      </c>
      <c r="F24" s="23">
        <f>+F6+F13+F19+F23</f>
        <v>8</v>
      </c>
      <c r="G24" s="23">
        <f>+G6+G13+G19+G23</f>
        <v>99</v>
      </c>
      <c r="H24" s="23">
        <f>+H6+H13+H19+H23</f>
        <v>68</v>
      </c>
      <c r="I24" s="23">
        <f>+I6+I13+I19+I23</f>
        <v>1365</v>
      </c>
      <c r="K24" s="4"/>
      <c r="L24" s="13" t="s">
        <v>54</v>
      </c>
      <c r="M24" s="7">
        <v>3</v>
      </c>
      <c r="N24" s="7">
        <v>7</v>
      </c>
      <c r="O24" s="7">
        <v>7</v>
      </c>
      <c r="P24" s="7">
        <v>2</v>
      </c>
      <c r="Q24" s="9">
        <f>SUM(M24:P24)</f>
        <v>19</v>
      </c>
      <c r="R24" s="4"/>
      <c r="S24" s="4"/>
      <c r="T24" s="4"/>
      <c r="U24" s="4"/>
      <c r="V24" s="4"/>
      <c r="W24" s="4"/>
      <c r="AF24" s="5"/>
      <c r="AG24" s="5"/>
    </row>
    <row r="25" spans="2:33" ht="15.75" customHeight="1">
      <c r="B25" s="4"/>
      <c r="C25" s="4"/>
      <c r="D25" s="4"/>
      <c r="E25" s="10"/>
      <c r="F25" s="10"/>
      <c r="H25" s="4"/>
      <c r="I25" s="10"/>
      <c r="J25" s="4"/>
      <c r="K25" s="4"/>
      <c r="L25" s="27" t="s">
        <v>31</v>
      </c>
      <c r="M25" s="27">
        <f t="shared" ref="M25:O25" si="6">SUM(M20:M24)</f>
        <v>24</v>
      </c>
      <c r="N25" s="27">
        <f t="shared" si="6"/>
        <v>38</v>
      </c>
      <c r="O25" s="27">
        <f t="shared" si="6"/>
        <v>32</v>
      </c>
      <c r="P25" s="27">
        <f>SUM(P20:P24)</f>
        <v>15</v>
      </c>
      <c r="Q25" s="27">
        <f>SUM(Q20:Q24)</f>
        <v>109</v>
      </c>
      <c r="R25" s="4"/>
      <c r="S25" s="4"/>
      <c r="T25" s="4"/>
      <c r="U25" s="4"/>
      <c r="V25" s="4"/>
      <c r="W25" s="4"/>
      <c r="AB25" s="5"/>
      <c r="AC25" s="5"/>
      <c r="AD25" s="5"/>
      <c r="AE25" s="5"/>
      <c r="AF25" s="5"/>
      <c r="AG25" s="5"/>
    </row>
    <row r="26" spans="2:33" ht="15.75" customHeight="1">
      <c r="B26" s="68" t="s">
        <v>133</v>
      </c>
      <c r="C26" s="68"/>
      <c r="D26" s="68"/>
      <c r="E26" s="68"/>
      <c r="F26" s="69"/>
      <c r="H26" s="4"/>
      <c r="I26" s="10"/>
      <c r="J26" s="4"/>
      <c r="K26" s="4"/>
      <c r="L26" s="4"/>
      <c r="N26" s="4"/>
      <c r="O26" s="4"/>
      <c r="R26" s="4"/>
      <c r="S26" s="4"/>
      <c r="T26" s="4"/>
      <c r="U26" s="4"/>
      <c r="V26" s="4"/>
      <c r="W26" s="4"/>
      <c r="AB26" s="5"/>
      <c r="AC26" s="5"/>
      <c r="AD26" s="5"/>
      <c r="AE26" s="5"/>
      <c r="AF26" s="5"/>
      <c r="AG26" s="5"/>
    </row>
    <row r="27" spans="2:33" ht="15.75" customHeight="1">
      <c r="B27" s="22" t="s">
        <v>14</v>
      </c>
      <c r="C27" s="22" t="s">
        <v>64</v>
      </c>
      <c r="D27" s="22" t="s">
        <v>15</v>
      </c>
      <c r="E27" s="22" t="s">
        <v>65</v>
      </c>
      <c r="F27" s="22" t="s">
        <v>16</v>
      </c>
      <c r="H27" s="4"/>
      <c r="I27" s="10"/>
      <c r="J27" s="4"/>
      <c r="K27" s="4"/>
      <c r="L27" s="76" t="s">
        <v>156</v>
      </c>
      <c r="M27" s="68"/>
      <c r="N27" s="68"/>
      <c r="O27" s="4"/>
      <c r="P27" s="4"/>
      <c r="R27" s="4"/>
      <c r="S27" s="4"/>
      <c r="T27" s="4"/>
      <c r="U27" s="4"/>
      <c r="V27" s="4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2:33" ht="15.75" customHeight="1">
      <c r="B28" s="1" t="s">
        <v>20</v>
      </c>
      <c r="C28" s="7">
        <v>4</v>
      </c>
      <c r="D28" s="7">
        <v>47</v>
      </c>
      <c r="E28" s="15">
        <v>7</v>
      </c>
      <c r="F28" s="16">
        <f>SUM(C28:E28)</f>
        <v>58</v>
      </c>
      <c r="H28" s="4"/>
      <c r="I28" s="10"/>
      <c r="J28" s="4"/>
      <c r="K28" s="4"/>
      <c r="L28" s="26" t="s">
        <v>17</v>
      </c>
      <c r="M28" s="26" t="s">
        <v>59</v>
      </c>
      <c r="N28" s="26" t="s">
        <v>60</v>
      </c>
      <c r="O28" s="4"/>
      <c r="P28" s="4"/>
      <c r="R28" s="4"/>
      <c r="S28" s="4"/>
      <c r="T28" s="4"/>
      <c r="U28" s="4"/>
      <c r="V28" s="4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2:33" ht="15.75" customHeight="1">
      <c r="B29" s="1" t="s">
        <v>21</v>
      </c>
      <c r="C29" s="7">
        <v>0</v>
      </c>
      <c r="D29" s="7">
        <v>22</v>
      </c>
      <c r="E29" s="15">
        <v>3</v>
      </c>
      <c r="F29" s="16">
        <f>SUM(C29:E29)</f>
        <v>25</v>
      </c>
      <c r="H29" s="4"/>
      <c r="I29" s="10"/>
      <c r="J29" s="4"/>
      <c r="K29" s="4"/>
      <c r="L29" s="2" t="s">
        <v>61</v>
      </c>
      <c r="M29" s="8">
        <f>M8</f>
        <v>0</v>
      </c>
      <c r="N29" s="9">
        <f>I13+I19+I23</f>
        <v>1053</v>
      </c>
      <c r="O29" s="4"/>
      <c r="P29" s="4"/>
      <c r="R29" s="4"/>
      <c r="S29" s="4"/>
      <c r="T29" s="4"/>
      <c r="U29" s="4"/>
      <c r="V29" s="4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2:33" ht="15.75" customHeight="1">
      <c r="B30" s="1" t="s">
        <v>29</v>
      </c>
      <c r="C30" s="7">
        <v>7</v>
      </c>
      <c r="D30" s="7">
        <v>48</v>
      </c>
      <c r="E30" s="15">
        <v>5</v>
      </c>
      <c r="F30" s="16">
        <f>SUM(C30:E30)</f>
        <v>60</v>
      </c>
      <c r="H30" s="4"/>
      <c r="I30" s="10"/>
      <c r="J30" s="4"/>
      <c r="K30" s="4"/>
      <c r="L30" s="2" t="s">
        <v>63</v>
      </c>
      <c r="M30" s="8">
        <f>P16</f>
        <v>0</v>
      </c>
      <c r="N30" s="9">
        <f>I6</f>
        <v>312</v>
      </c>
      <c r="O30" s="4"/>
      <c r="P30" s="4"/>
      <c r="R30" s="4"/>
      <c r="S30" s="4"/>
      <c r="T30" s="4"/>
      <c r="U30" s="4"/>
      <c r="V30" s="4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2:33" ht="15.75" customHeight="1">
      <c r="B31" s="24" t="s">
        <v>25</v>
      </c>
      <c r="C31" s="23">
        <f>SUM(C28:C30)</f>
        <v>11</v>
      </c>
      <c r="D31" s="23">
        <f>SUM(D28:D30)</f>
        <v>117</v>
      </c>
      <c r="E31" s="23">
        <f>SUM(E28:E30)</f>
        <v>15</v>
      </c>
      <c r="F31" s="23">
        <f>SUM(F28:F30)</f>
        <v>143</v>
      </c>
      <c r="H31" s="4"/>
      <c r="I31" s="10"/>
      <c r="J31" s="4"/>
      <c r="K31" s="4"/>
      <c r="L31" s="27" t="s">
        <v>31</v>
      </c>
      <c r="M31" s="27">
        <f>SUM(M29:M30)</f>
        <v>0</v>
      </c>
      <c r="N31" s="27">
        <f>SUM(N29:N30)</f>
        <v>1365</v>
      </c>
      <c r="O31" s="4"/>
      <c r="P31" s="4"/>
      <c r="R31" s="4"/>
      <c r="S31" s="4"/>
      <c r="T31" s="4"/>
      <c r="U31" s="4"/>
      <c r="V31" s="4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2:33" ht="15.75" customHeight="1">
      <c r="B32" s="4"/>
      <c r="C32" s="4"/>
      <c r="D32" s="4"/>
      <c r="E32" s="10"/>
      <c r="F32" s="10"/>
      <c r="H32" s="4"/>
      <c r="I32" s="10"/>
      <c r="J32" s="4"/>
      <c r="K32" s="4"/>
      <c r="L32" s="10"/>
      <c r="N32" s="4"/>
      <c r="O32" s="4"/>
      <c r="P32" s="4"/>
      <c r="R32" s="4"/>
      <c r="S32" s="4"/>
      <c r="T32" s="4"/>
      <c r="U32" s="4"/>
      <c r="V32" s="4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75" customHeight="1">
      <c r="B33" s="10"/>
      <c r="C33" s="10"/>
      <c r="D33" s="10"/>
      <c r="E33" s="10"/>
      <c r="F33" s="10"/>
      <c r="H33" s="4"/>
      <c r="I33" s="10"/>
      <c r="J33" s="4"/>
      <c r="K33" s="4"/>
      <c r="L33" s="10"/>
      <c r="M33" s="10"/>
      <c r="N33" s="4"/>
      <c r="O33" s="4"/>
      <c r="P33" s="4"/>
      <c r="R33" s="4"/>
      <c r="S33" s="4"/>
      <c r="T33" s="4"/>
      <c r="U33" s="4"/>
      <c r="V33" s="4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75" customHeight="1">
      <c r="B34" s="68" t="s">
        <v>21</v>
      </c>
      <c r="C34" s="69"/>
      <c r="D34" s="4"/>
      <c r="E34" s="68" t="s">
        <v>20</v>
      </c>
      <c r="F34" s="69"/>
      <c r="H34" s="68" t="s">
        <v>135</v>
      </c>
      <c r="I34" s="69"/>
      <c r="J34" s="4"/>
      <c r="K34" s="4"/>
      <c r="L34" s="10"/>
      <c r="M34" s="10"/>
      <c r="N34" s="4"/>
      <c r="O34" s="10"/>
      <c r="P34" s="4"/>
      <c r="R34" s="4"/>
      <c r="S34" s="4"/>
      <c r="T34" s="4"/>
      <c r="U34" s="4"/>
      <c r="V34" s="4"/>
      <c r="W34" s="4"/>
      <c r="AB34" s="5"/>
      <c r="AC34" s="5"/>
      <c r="AD34" s="5"/>
      <c r="AE34" s="5"/>
      <c r="AF34" s="5"/>
      <c r="AG34" s="5"/>
    </row>
    <row r="35" spans="1:33" ht="15.75" customHeight="1">
      <c r="B35" s="34" t="s">
        <v>68</v>
      </c>
      <c r="C35" s="34" t="s">
        <v>157</v>
      </c>
      <c r="D35" s="10"/>
      <c r="E35" s="34" t="s">
        <v>68</v>
      </c>
      <c r="F35" s="34" t="str">
        <f>C35</f>
        <v>CORTE AL 18/05</v>
      </c>
      <c r="H35" s="34" t="s">
        <v>68</v>
      </c>
      <c r="I35" s="34" t="str">
        <f>C35</f>
        <v>CORTE AL 18/05</v>
      </c>
      <c r="J35" s="4"/>
      <c r="K35" s="4"/>
      <c r="L35" s="10"/>
      <c r="M35" s="10"/>
      <c r="N35" s="4"/>
      <c r="O35" s="4"/>
      <c r="P35" s="10"/>
      <c r="R35" s="4"/>
      <c r="S35" s="4"/>
      <c r="T35" s="4"/>
      <c r="U35" s="4"/>
      <c r="V35" s="4"/>
      <c r="W35" s="4"/>
    </row>
    <row r="36" spans="1:33" ht="15.75" customHeight="1">
      <c r="B36" s="39" t="s">
        <v>158</v>
      </c>
      <c r="C36" s="36">
        <v>8</v>
      </c>
      <c r="D36" s="18"/>
      <c r="E36" s="37" t="s">
        <v>159</v>
      </c>
      <c r="F36" s="36">
        <v>13</v>
      </c>
      <c r="H36" s="37" t="s">
        <v>81</v>
      </c>
      <c r="I36" s="36">
        <v>7</v>
      </c>
      <c r="J36" s="4"/>
      <c r="K36" s="4"/>
      <c r="L36" s="10"/>
      <c r="M36" s="10"/>
      <c r="N36" s="4"/>
      <c r="O36" s="4"/>
      <c r="P36" s="4"/>
      <c r="R36" s="4"/>
      <c r="S36" s="4"/>
      <c r="T36" s="4"/>
      <c r="U36" s="4"/>
      <c r="V36" s="4"/>
      <c r="W36" s="4"/>
      <c r="AE36" s="5"/>
      <c r="AF36" s="5"/>
      <c r="AG36" s="5"/>
    </row>
    <row r="37" spans="1:33" ht="15.75" customHeight="1">
      <c r="B37" s="39" t="s">
        <v>160</v>
      </c>
      <c r="C37" s="36">
        <v>8</v>
      </c>
      <c r="D37" s="18"/>
      <c r="E37" s="37" t="s">
        <v>161</v>
      </c>
      <c r="F37" s="36">
        <v>10</v>
      </c>
      <c r="H37" s="37" t="s">
        <v>77</v>
      </c>
      <c r="I37" s="36">
        <v>7</v>
      </c>
      <c r="J37" s="4"/>
      <c r="K37" s="4"/>
      <c r="L37" s="10"/>
      <c r="M37" s="10"/>
      <c r="N37" s="4"/>
      <c r="O37" s="4"/>
      <c r="P37" s="4"/>
      <c r="R37" s="4"/>
      <c r="S37" s="4"/>
      <c r="T37" s="4"/>
      <c r="U37" s="4"/>
      <c r="V37" s="4"/>
      <c r="W37" s="4"/>
      <c r="AE37" s="5"/>
      <c r="AF37" s="5"/>
      <c r="AG37" s="5"/>
    </row>
    <row r="38" spans="1:33" ht="15.75" customHeight="1">
      <c r="B38" s="39" t="s">
        <v>162</v>
      </c>
      <c r="C38" s="36">
        <v>5</v>
      </c>
      <c r="D38" s="18"/>
      <c r="E38" s="37" t="s">
        <v>163</v>
      </c>
      <c r="F38" s="36">
        <v>7</v>
      </c>
      <c r="H38" s="37" t="s">
        <v>89</v>
      </c>
      <c r="I38" s="36">
        <v>6</v>
      </c>
      <c r="J38" s="4"/>
      <c r="K38" s="4"/>
      <c r="L38" s="17"/>
      <c r="M38" s="17"/>
      <c r="N38" s="18"/>
      <c r="O38" s="4"/>
      <c r="P38" s="4"/>
      <c r="R38" s="4"/>
      <c r="S38" s="4"/>
      <c r="T38" s="4"/>
      <c r="U38" s="4"/>
      <c r="V38" s="4"/>
      <c r="W38" s="4"/>
      <c r="AE38" s="5"/>
      <c r="AF38" s="5"/>
      <c r="AG38" s="5"/>
    </row>
    <row r="39" spans="1:33" ht="15.75" customHeight="1">
      <c r="A39" s="18"/>
      <c r="B39" s="39" t="s">
        <v>74</v>
      </c>
      <c r="C39" s="36">
        <v>5</v>
      </c>
      <c r="D39" s="18"/>
      <c r="E39" s="37" t="s">
        <v>164</v>
      </c>
      <c r="F39" s="36">
        <v>3</v>
      </c>
      <c r="H39" s="37" t="s">
        <v>73</v>
      </c>
      <c r="I39" s="36">
        <v>6</v>
      </c>
      <c r="J39" s="4"/>
      <c r="K39" s="4"/>
      <c r="L39" s="17"/>
      <c r="M39" s="17"/>
      <c r="N39" s="18"/>
      <c r="O39" s="4"/>
      <c r="P39" s="4"/>
      <c r="R39" s="4"/>
      <c r="S39" s="4"/>
      <c r="T39" s="4"/>
      <c r="U39" s="4"/>
      <c r="V39" s="4"/>
      <c r="W39" s="4"/>
      <c r="AE39" s="5"/>
      <c r="AF39" s="5"/>
      <c r="AG39" s="5"/>
    </row>
    <row r="40" spans="1:33">
      <c r="A40" s="18"/>
      <c r="B40" s="39" t="s">
        <v>165</v>
      </c>
      <c r="C40" s="36">
        <v>4</v>
      </c>
      <c r="D40" s="18"/>
      <c r="E40" s="37" t="s">
        <v>141</v>
      </c>
      <c r="F40" s="36">
        <v>3</v>
      </c>
      <c r="G40" s="18"/>
      <c r="H40" s="37" t="s">
        <v>101</v>
      </c>
      <c r="I40" s="36">
        <v>4</v>
      </c>
      <c r="J40" s="4"/>
      <c r="K40" s="4"/>
      <c r="L40" s="17"/>
      <c r="M40" s="17"/>
      <c r="N40" s="18"/>
      <c r="O40" s="18"/>
      <c r="P40" s="4"/>
      <c r="R40" s="4"/>
      <c r="S40" s="4"/>
      <c r="T40" s="4"/>
      <c r="U40" s="4"/>
      <c r="V40" s="4"/>
      <c r="W40" s="4"/>
      <c r="AE40" s="5"/>
      <c r="AF40" s="5"/>
      <c r="AG40" s="5"/>
    </row>
    <row r="41" spans="1:33" s="48" customFormat="1" ht="15.75" customHeight="1">
      <c r="A41" s="18"/>
      <c r="B41" s="39" t="s">
        <v>166</v>
      </c>
      <c r="C41" s="36">
        <v>3</v>
      </c>
      <c r="D41" s="18"/>
      <c r="E41" s="37" t="s">
        <v>167</v>
      </c>
      <c r="F41" s="36">
        <v>3</v>
      </c>
      <c r="G41" s="18"/>
      <c r="H41" s="37" t="s">
        <v>85</v>
      </c>
      <c r="I41" s="36">
        <v>3</v>
      </c>
      <c r="J41" s="18"/>
      <c r="K41" s="18"/>
      <c r="L41" s="17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3" s="48" customFormat="1" ht="12.75">
      <c r="A42" s="18"/>
      <c r="B42" s="39" t="s">
        <v>168</v>
      </c>
      <c r="C42" s="36">
        <v>2</v>
      </c>
      <c r="D42" s="18"/>
      <c r="E42" s="37" t="s">
        <v>169</v>
      </c>
      <c r="F42" s="36">
        <v>2</v>
      </c>
      <c r="G42" s="18"/>
      <c r="H42" s="37" t="s">
        <v>93</v>
      </c>
      <c r="I42" s="36">
        <v>3</v>
      </c>
      <c r="J42" s="18"/>
      <c r="K42" s="18"/>
      <c r="L42" s="17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3" s="48" customFormat="1" ht="12.75">
      <c r="A43" s="18"/>
      <c r="B43" s="39" t="s">
        <v>170</v>
      </c>
      <c r="C43" s="36">
        <v>2</v>
      </c>
      <c r="D43" s="18"/>
      <c r="E43" s="37" t="s">
        <v>110</v>
      </c>
      <c r="F43" s="36">
        <v>2</v>
      </c>
      <c r="G43" s="18"/>
      <c r="H43" s="37" t="s">
        <v>121</v>
      </c>
      <c r="I43" s="36">
        <v>1</v>
      </c>
      <c r="J43" s="18"/>
      <c r="K43" s="18"/>
      <c r="L43" s="17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3" s="48" customFormat="1" ht="12.75">
      <c r="A44" s="18"/>
      <c r="B44" s="39" t="s">
        <v>90</v>
      </c>
      <c r="C44" s="36">
        <v>2</v>
      </c>
      <c r="D44" s="18"/>
      <c r="E44" s="37" t="s">
        <v>171</v>
      </c>
      <c r="F44" s="36">
        <v>1</v>
      </c>
      <c r="G44" s="18"/>
      <c r="H44" s="37" t="s">
        <v>105</v>
      </c>
      <c r="I44" s="36">
        <v>1</v>
      </c>
      <c r="J44" s="18"/>
      <c r="K44" s="18"/>
      <c r="L44" s="17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3" s="48" customFormat="1" ht="12.75">
      <c r="A45" s="18"/>
      <c r="B45" s="39" t="s">
        <v>104</v>
      </c>
      <c r="C45" s="36">
        <v>2</v>
      </c>
      <c r="D45" s="18"/>
      <c r="E45" s="37" t="s">
        <v>172</v>
      </c>
      <c r="F45" s="36">
        <v>1</v>
      </c>
      <c r="G45" s="18"/>
      <c r="H45" s="37" t="s">
        <v>118</v>
      </c>
      <c r="I45" s="36">
        <v>1</v>
      </c>
      <c r="J45" s="18"/>
      <c r="K45" s="18"/>
      <c r="L45" s="17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3" s="48" customFormat="1" ht="12.75">
      <c r="A46" s="18"/>
      <c r="B46" s="39" t="s">
        <v>173</v>
      </c>
      <c r="C46" s="36">
        <v>2</v>
      </c>
      <c r="D46" s="18"/>
      <c r="E46" s="37" t="s">
        <v>123</v>
      </c>
      <c r="F46" s="36">
        <v>1</v>
      </c>
      <c r="G46" s="18"/>
      <c r="H46" s="37" t="s">
        <v>115</v>
      </c>
      <c r="I46" s="36">
        <v>1</v>
      </c>
      <c r="J46" s="18"/>
      <c r="K46" s="18"/>
      <c r="L46" s="17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3" s="48" customFormat="1" ht="12.75">
      <c r="A47" s="18"/>
      <c r="B47" s="39" t="s">
        <v>174</v>
      </c>
      <c r="C47" s="36">
        <v>1</v>
      </c>
      <c r="D47" s="18"/>
      <c r="E47" s="37" t="s">
        <v>120</v>
      </c>
      <c r="F47" s="36">
        <v>1</v>
      </c>
      <c r="G47" s="18"/>
      <c r="H47" s="37" t="s">
        <v>109</v>
      </c>
      <c r="I47" s="36">
        <v>1</v>
      </c>
      <c r="J47" s="18"/>
      <c r="K47" s="18"/>
      <c r="L47" s="17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3" s="48" customFormat="1" ht="12.75">
      <c r="A48" s="18"/>
      <c r="B48" s="39" t="s">
        <v>175</v>
      </c>
      <c r="C48" s="36">
        <v>0</v>
      </c>
      <c r="D48" s="18"/>
      <c r="E48" s="37" t="s">
        <v>84</v>
      </c>
      <c r="F48" s="36">
        <v>0</v>
      </c>
      <c r="G48" s="18"/>
      <c r="H48" s="37" t="s">
        <v>112</v>
      </c>
      <c r="I48" s="36">
        <v>1</v>
      </c>
      <c r="J48" s="18"/>
      <c r="K48" s="18"/>
      <c r="L48" s="17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s="48" customFormat="1" ht="12.75">
      <c r="A49" s="18"/>
      <c r="B49" s="39" t="s">
        <v>96</v>
      </c>
      <c r="C49" s="36">
        <v>0</v>
      </c>
      <c r="D49" s="18"/>
      <c r="E49" s="37" t="s">
        <v>122</v>
      </c>
      <c r="F49" s="36">
        <v>0</v>
      </c>
      <c r="G49" s="18"/>
      <c r="H49" s="37" t="s">
        <v>97</v>
      </c>
      <c r="I49" s="36">
        <v>1</v>
      </c>
      <c r="J49" s="18"/>
      <c r="K49" s="18"/>
      <c r="L49" s="17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s="48" customFormat="1">
      <c r="A50" s="18"/>
      <c r="B50" s="39" t="s">
        <v>176</v>
      </c>
      <c r="C50" s="36">
        <v>0</v>
      </c>
      <c r="D50" s="18"/>
      <c r="E50" s="37" t="s">
        <v>80</v>
      </c>
      <c r="F50" s="36">
        <v>0</v>
      </c>
      <c r="G50" s="18"/>
      <c r="H50" s="17"/>
      <c r="I50" s="10"/>
      <c r="J50" s="18"/>
      <c r="K50" s="18"/>
      <c r="L50" s="17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s="48" customFormat="1">
      <c r="A51" s="18"/>
      <c r="B51" s="39" t="s">
        <v>177</v>
      </c>
      <c r="C51" s="36">
        <v>0</v>
      </c>
      <c r="D51" s="18"/>
      <c r="E51" s="37" t="s">
        <v>178</v>
      </c>
      <c r="F51" s="36">
        <v>0</v>
      </c>
      <c r="G51" s="18"/>
      <c r="H51" s="17"/>
      <c r="I51" s="10"/>
      <c r="J51" s="18"/>
      <c r="K51" s="18"/>
      <c r="L51" s="17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0" s="48" customFormat="1">
      <c r="A52" s="18"/>
      <c r="B52" s="39" t="s">
        <v>179</v>
      </c>
      <c r="C52" s="36">
        <v>0</v>
      </c>
      <c r="D52" s="18"/>
      <c r="E52" s="37" t="s">
        <v>180</v>
      </c>
      <c r="F52" s="36">
        <v>0</v>
      </c>
      <c r="G52" s="18"/>
      <c r="H52" s="10"/>
      <c r="I52" s="10"/>
      <c r="J52" s="18"/>
      <c r="K52" s="18"/>
      <c r="L52" s="17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s="48" customFormat="1">
      <c r="A53" s="18"/>
      <c r="B53" s="39" t="s">
        <v>181</v>
      </c>
      <c r="C53" s="36">
        <v>0</v>
      </c>
      <c r="D53" s="18"/>
      <c r="E53" s="37" t="s">
        <v>124</v>
      </c>
      <c r="F53" s="36">
        <v>0</v>
      </c>
      <c r="G53" s="18"/>
      <c r="H53" s="10"/>
      <c r="I53" s="10"/>
      <c r="J53" s="18"/>
      <c r="K53" s="18"/>
      <c r="L53" s="17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s="48" customFormat="1">
      <c r="A54" s="18"/>
      <c r="B54" s="39" t="s">
        <v>129</v>
      </c>
      <c r="C54" s="36">
        <v>0</v>
      </c>
      <c r="D54" s="4"/>
      <c r="E54" s="37" t="s">
        <v>182</v>
      </c>
      <c r="F54" s="36">
        <v>0</v>
      </c>
      <c r="G54" s="18"/>
      <c r="H54" s="10"/>
      <c r="I54" s="10"/>
      <c r="J54" s="18"/>
      <c r="K54" s="18"/>
      <c r="L54" s="10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s="48" customFormat="1">
      <c r="A55" s="18"/>
      <c r="B55" s="39" t="s">
        <v>183</v>
      </c>
      <c r="C55" s="36">
        <v>0</v>
      </c>
      <c r="D55" s="4"/>
      <c r="E55" s="10"/>
      <c r="F55" s="10"/>
      <c r="G55" s="18"/>
      <c r="H55" s="4"/>
      <c r="I55" s="4"/>
      <c r="J55" s="18"/>
      <c r="K55" s="18"/>
      <c r="L55" s="10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s="18" customFormat="1">
      <c r="B56" s="39" t="s">
        <v>76</v>
      </c>
      <c r="C56" s="36">
        <v>0</v>
      </c>
      <c r="D56" s="4"/>
      <c r="E56" s="10"/>
      <c r="F56" s="10"/>
      <c r="H56" s="4"/>
      <c r="I56" s="4"/>
      <c r="L56" s="10"/>
      <c r="M56" s="4"/>
      <c r="N56" s="4"/>
      <c r="O56" s="17"/>
    </row>
    <row r="57" spans="1:30" s="18" customFormat="1">
      <c r="A57" s="4"/>
      <c r="B57" s="39" t="s">
        <v>92</v>
      </c>
      <c r="C57" s="36">
        <v>0</v>
      </c>
      <c r="D57" s="4"/>
      <c r="E57" s="10"/>
      <c r="F57" s="10"/>
      <c r="H57" s="4"/>
      <c r="I57" s="4"/>
      <c r="K57" s="10"/>
      <c r="L57" s="10"/>
      <c r="M57" s="4"/>
      <c r="N57" s="4"/>
      <c r="O57" s="17"/>
      <c r="P57" s="17"/>
    </row>
    <row r="58" spans="1:30" s="18" customFormat="1">
      <c r="A58" s="4"/>
      <c r="B58" s="39" t="s">
        <v>184</v>
      </c>
      <c r="C58" s="36">
        <v>0</v>
      </c>
      <c r="D58" s="4"/>
      <c r="E58" s="10"/>
      <c r="F58" s="10"/>
      <c r="H58" s="4"/>
      <c r="I58" s="4"/>
      <c r="J58" s="4"/>
      <c r="K58" s="10"/>
      <c r="L58" s="10"/>
      <c r="M58" s="4"/>
      <c r="N58" s="4"/>
      <c r="O58" s="10"/>
      <c r="P58" s="17"/>
    </row>
    <row r="59" spans="1:30" s="4" customFormat="1">
      <c r="B59" s="39" t="s">
        <v>88</v>
      </c>
      <c r="C59" s="36">
        <v>0</v>
      </c>
      <c r="E59" s="10"/>
      <c r="F59" s="10"/>
      <c r="G59" s="18"/>
      <c r="K59" s="10"/>
      <c r="L59" s="10"/>
      <c r="O59" s="10"/>
      <c r="P59" s="10"/>
    </row>
    <row r="60" spans="1:30" s="4" customFormat="1">
      <c r="E60" s="10"/>
      <c r="F60" s="10"/>
      <c r="K60" s="10"/>
      <c r="L60" s="10"/>
      <c r="O60" s="10"/>
      <c r="P60" s="10"/>
    </row>
    <row r="61" spans="1:30" s="4" customFormat="1">
      <c r="E61" s="10"/>
      <c r="F61" s="10"/>
      <c r="K61" s="10"/>
      <c r="L61" s="10"/>
      <c r="O61" s="10"/>
      <c r="P61" s="10"/>
    </row>
    <row r="62" spans="1:30" s="4" customFormat="1">
      <c r="E62" s="10"/>
      <c r="F62" s="10"/>
      <c r="K62" s="10"/>
      <c r="L62" s="10"/>
      <c r="O62" s="10"/>
      <c r="P62" s="10"/>
    </row>
    <row r="63" spans="1:30" s="4" customFormat="1">
      <c r="E63" s="10"/>
      <c r="F63" s="10"/>
      <c r="K63" s="10"/>
      <c r="L63" s="10"/>
      <c r="O63" s="10"/>
      <c r="P63" s="10"/>
    </row>
    <row r="64" spans="1:30" s="4" customFormat="1">
      <c r="E64" s="10"/>
      <c r="F64" s="10"/>
      <c r="K64" s="10"/>
      <c r="L64" s="10"/>
      <c r="O64" s="10"/>
      <c r="P64" s="10"/>
    </row>
    <row r="65" spans="5:16" s="4" customFormat="1" ht="15" customHeight="1">
      <c r="E65" s="10"/>
      <c r="F65" s="10"/>
      <c r="K65" s="10"/>
      <c r="L65" s="10"/>
      <c r="O65" s="10"/>
      <c r="P65" s="10"/>
    </row>
    <row r="66" spans="5:16" s="4" customFormat="1" ht="15" customHeight="1">
      <c r="E66" s="10"/>
      <c r="F66" s="10"/>
      <c r="K66" s="10"/>
      <c r="L66" s="10"/>
      <c r="O66" s="10"/>
      <c r="P66" s="10"/>
    </row>
    <row r="67" spans="5:16" s="4" customFormat="1" ht="15" customHeight="1">
      <c r="E67" s="10"/>
      <c r="F67" s="10"/>
      <c r="K67" s="10"/>
      <c r="L67" s="10"/>
      <c r="O67" s="10"/>
      <c r="P67" s="10"/>
    </row>
    <row r="68" spans="5:16" s="4" customFormat="1" ht="15" customHeight="1">
      <c r="E68" s="10"/>
      <c r="F68" s="10"/>
      <c r="K68" s="10"/>
      <c r="L68" s="10"/>
      <c r="O68" s="10"/>
      <c r="P68" s="10"/>
    </row>
    <row r="69" spans="5:16" s="4" customFormat="1" ht="15" customHeight="1">
      <c r="E69" s="10"/>
      <c r="F69" s="10"/>
      <c r="K69" s="10"/>
      <c r="L69" s="10"/>
      <c r="O69" s="10"/>
      <c r="P69" s="10"/>
    </row>
    <row r="70" spans="5:16" s="4" customFormat="1" ht="15" customHeight="1">
      <c r="E70" s="10"/>
      <c r="F70" s="10"/>
      <c r="K70" s="10"/>
      <c r="L70" s="10"/>
      <c r="O70" s="10"/>
      <c r="P70" s="10"/>
    </row>
    <row r="71" spans="5:16" s="4" customFormat="1" ht="15" customHeight="1">
      <c r="E71" s="10"/>
      <c r="F71" s="10"/>
      <c r="K71" s="10"/>
      <c r="L71" s="10"/>
      <c r="O71" s="10"/>
      <c r="P71" s="10"/>
    </row>
    <row r="72" spans="5:16" s="4" customFormat="1" ht="15" customHeight="1">
      <c r="E72" s="10"/>
      <c r="F72" s="10"/>
      <c r="K72" s="10"/>
      <c r="L72" s="10"/>
      <c r="O72" s="10"/>
      <c r="P72" s="10"/>
    </row>
    <row r="73" spans="5:16" s="4" customFormat="1" ht="15" customHeight="1">
      <c r="E73" s="10"/>
      <c r="F73" s="10"/>
      <c r="K73" s="10"/>
      <c r="L73" s="10"/>
      <c r="O73" s="10"/>
      <c r="P73" s="10"/>
    </row>
    <row r="74" spans="5:16" s="4" customFormat="1" ht="15" customHeight="1">
      <c r="E74" s="10"/>
      <c r="F74" s="10"/>
      <c r="K74" s="10"/>
      <c r="L74" s="10"/>
      <c r="O74" s="10"/>
      <c r="P74" s="10"/>
    </row>
    <row r="75" spans="5:16" s="4" customFormat="1" ht="15" customHeight="1">
      <c r="E75" s="10"/>
      <c r="F75" s="10"/>
      <c r="K75" s="10"/>
      <c r="L75" s="10"/>
      <c r="O75" s="10"/>
      <c r="P75" s="10"/>
    </row>
    <row r="76" spans="5:16" s="4" customFormat="1" ht="15" customHeight="1">
      <c r="E76" s="10"/>
      <c r="F76" s="10"/>
      <c r="K76" s="10"/>
      <c r="L76" s="10"/>
      <c r="O76" s="10"/>
      <c r="P76" s="10"/>
    </row>
    <row r="77" spans="5:16" s="4" customFormat="1" ht="15" customHeight="1">
      <c r="E77" s="10"/>
      <c r="F77" s="10"/>
      <c r="K77" s="10"/>
      <c r="L77" s="10"/>
      <c r="O77" s="10"/>
      <c r="P77" s="10"/>
    </row>
    <row r="78" spans="5:16" s="4" customFormat="1" ht="15" customHeight="1">
      <c r="E78" s="10"/>
      <c r="F78" s="10"/>
      <c r="K78" s="10"/>
      <c r="L78" s="10"/>
      <c r="O78" s="10"/>
      <c r="P78" s="10"/>
    </row>
    <row r="79" spans="5:16" s="4" customFormat="1" ht="15" customHeight="1">
      <c r="E79" s="10"/>
      <c r="F79" s="10"/>
      <c r="K79" s="10"/>
      <c r="L79" s="10"/>
      <c r="O79" s="10"/>
      <c r="P79" s="10"/>
    </row>
    <row r="80" spans="5:16" s="4" customFormat="1" ht="15" customHeight="1">
      <c r="E80" s="10"/>
      <c r="F80" s="10"/>
      <c r="K80" s="10"/>
      <c r="L80" s="10"/>
      <c r="O80" s="10"/>
      <c r="P80" s="10"/>
    </row>
    <row r="81" spans="5:16" s="4" customFormat="1" ht="15" customHeight="1">
      <c r="E81" s="10"/>
      <c r="F81" s="10"/>
      <c r="K81" s="10"/>
      <c r="L81" s="10"/>
      <c r="O81" s="10"/>
      <c r="P81" s="10"/>
    </row>
    <row r="82" spans="5:16" s="4" customFormat="1" ht="15" customHeight="1">
      <c r="E82" s="10"/>
      <c r="F82" s="10"/>
      <c r="K82" s="10"/>
      <c r="L82" s="10"/>
      <c r="O82" s="10"/>
      <c r="P82" s="10"/>
    </row>
    <row r="83" spans="5:16" s="4" customFormat="1" ht="15" customHeight="1">
      <c r="E83" s="10"/>
      <c r="F83" s="10"/>
      <c r="K83" s="10"/>
      <c r="L83" s="10"/>
      <c r="O83" s="10"/>
      <c r="P83" s="10"/>
    </row>
    <row r="84" spans="5:16" s="4" customFormat="1" ht="15" customHeight="1">
      <c r="E84" s="10"/>
      <c r="F84" s="10"/>
      <c r="K84" s="10"/>
      <c r="L84" s="10"/>
      <c r="O84" s="10"/>
      <c r="P84" s="10"/>
    </row>
    <row r="85" spans="5:16" s="4" customFormat="1" ht="15" customHeight="1">
      <c r="E85" s="10"/>
      <c r="F85" s="10"/>
      <c r="K85" s="10"/>
      <c r="L85" s="10"/>
      <c r="O85" s="10"/>
      <c r="P85" s="10"/>
    </row>
    <row r="86" spans="5:16" s="4" customFormat="1" ht="15" customHeight="1">
      <c r="E86" s="10"/>
      <c r="F86" s="10"/>
      <c r="K86" s="10"/>
      <c r="L86" s="10"/>
      <c r="O86" s="10"/>
      <c r="P86" s="10"/>
    </row>
    <row r="87" spans="5:16" s="4" customFormat="1" ht="15" customHeight="1">
      <c r="E87" s="10"/>
      <c r="F87" s="10"/>
      <c r="K87" s="10"/>
      <c r="L87" s="10"/>
      <c r="O87" s="10"/>
      <c r="P87" s="10"/>
    </row>
    <row r="88" spans="5:16" s="4" customFormat="1" ht="15" customHeight="1">
      <c r="E88" s="10"/>
      <c r="F88" s="10"/>
      <c r="K88" s="10"/>
      <c r="L88" s="10"/>
      <c r="O88" s="10"/>
      <c r="P88" s="10"/>
    </row>
    <row r="89" spans="5:16" s="4" customFormat="1" ht="15" customHeight="1">
      <c r="E89" s="10"/>
      <c r="F89" s="10"/>
      <c r="K89" s="10"/>
      <c r="L89" s="10"/>
      <c r="O89" s="10"/>
      <c r="P89" s="10"/>
    </row>
    <row r="90" spans="5:16" s="4" customFormat="1" ht="15" customHeight="1">
      <c r="E90" s="10"/>
      <c r="F90" s="10"/>
      <c r="K90" s="10"/>
      <c r="L90" s="10"/>
      <c r="O90" s="10"/>
      <c r="P90" s="10"/>
    </row>
    <row r="91" spans="5:16" s="4" customFormat="1" ht="15" customHeight="1">
      <c r="E91" s="10"/>
      <c r="F91" s="10"/>
      <c r="K91" s="10"/>
      <c r="L91" s="10"/>
      <c r="O91" s="10"/>
      <c r="P91" s="10"/>
    </row>
    <row r="92" spans="5:16" s="4" customFormat="1" ht="15" customHeight="1">
      <c r="E92" s="10"/>
      <c r="F92" s="10"/>
      <c r="K92" s="10"/>
      <c r="L92" s="10"/>
      <c r="O92" s="10"/>
      <c r="P92" s="10"/>
    </row>
    <row r="93" spans="5:16" s="4" customFormat="1" ht="15" customHeight="1">
      <c r="E93" s="10"/>
      <c r="F93" s="10"/>
      <c r="K93" s="10"/>
      <c r="L93" s="10"/>
      <c r="O93" s="10"/>
      <c r="P93" s="10"/>
    </row>
    <row r="94" spans="5:16" s="4" customFormat="1" ht="15" customHeight="1">
      <c r="E94" s="10"/>
      <c r="F94" s="10"/>
      <c r="K94" s="10"/>
      <c r="L94" s="10"/>
      <c r="O94" s="10"/>
      <c r="P94" s="10"/>
    </row>
    <row r="95" spans="5:16" s="4" customFormat="1" ht="15" customHeight="1">
      <c r="E95" s="10"/>
      <c r="F95" s="10"/>
      <c r="K95" s="10"/>
      <c r="L95" s="10"/>
      <c r="O95" s="10"/>
      <c r="P95" s="10"/>
    </row>
    <row r="96" spans="5:16" s="4" customFormat="1" ht="15" customHeight="1">
      <c r="E96" s="10"/>
      <c r="F96" s="10"/>
      <c r="K96" s="10"/>
      <c r="L96" s="10"/>
      <c r="O96" s="10"/>
      <c r="P96" s="10"/>
    </row>
    <row r="97" spans="2:16" s="4" customFormat="1" ht="15" customHeight="1">
      <c r="E97" s="10"/>
      <c r="F97" s="10"/>
      <c r="K97" s="10"/>
      <c r="L97" s="10"/>
      <c r="O97" s="10"/>
      <c r="P97" s="10"/>
    </row>
    <row r="98" spans="2:16" s="4" customFormat="1" ht="15" customHeight="1">
      <c r="E98" s="10"/>
      <c r="F98" s="10"/>
      <c r="K98" s="10"/>
      <c r="L98" s="10"/>
      <c r="O98" s="10"/>
      <c r="P98" s="10"/>
    </row>
    <row r="99" spans="2:16" s="4" customFormat="1" ht="15" customHeight="1">
      <c r="E99" s="10"/>
      <c r="F99" s="10"/>
      <c r="K99" s="10"/>
      <c r="L99" s="10"/>
      <c r="O99" s="10"/>
      <c r="P99" s="10"/>
    </row>
    <row r="100" spans="2:16" s="4" customFormat="1" ht="15" customHeight="1">
      <c r="B100" s="5"/>
      <c r="C100" s="5"/>
      <c r="E100" s="10"/>
      <c r="F100" s="10"/>
      <c r="K100" s="10"/>
      <c r="L100" s="10"/>
      <c r="O100" s="10"/>
      <c r="P100" s="10"/>
    </row>
    <row r="101" spans="2:16" s="4" customFormat="1" ht="15" customHeight="1">
      <c r="B101" s="5"/>
      <c r="C101" s="5"/>
      <c r="E101" s="19"/>
      <c r="F101" s="19"/>
      <c r="H101" s="5"/>
      <c r="I101" s="5"/>
      <c r="K101" s="10"/>
      <c r="L101" s="10"/>
      <c r="O101" s="10"/>
      <c r="P101" s="10"/>
    </row>
    <row r="102" spans="2:16" s="4" customFormat="1" ht="15" customHeight="1">
      <c r="B102" s="5"/>
      <c r="C102" s="5"/>
      <c r="E102" s="19"/>
      <c r="F102" s="19"/>
      <c r="H102" s="5"/>
      <c r="I102" s="5"/>
      <c r="K102" s="10"/>
      <c r="L102" s="10"/>
      <c r="O102" s="10"/>
      <c r="P102" s="10"/>
    </row>
    <row r="103" spans="2:16" s="4" customFormat="1" ht="15" customHeight="1">
      <c r="B103" s="5"/>
      <c r="C103" s="5"/>
      <c r="E103" s="19"/>
      <c r="F103" s="19"/>
      <c r="H103" s="5"/>
      <c r="I103" s="5"/>
      <c r="K103" s="10"/>
      <c r="L103" s="10"/>
      <c r="O103" s="10"/>
      <c r="P103" s="10"/>
    </row>
    <row r="104" spans="2:16" s="4" customFormat="1" ht="15" customHeight="1">
      <c r="B104" s="5"/>
      <c r="C104" s="5"/>
      <c r="E104" s="19"/>
      <c r="F104" s="19"/>
      <c r="H104" s="5"/>
      <c r="I104" s="5"/>
      <c r="K104" s="10"/>
      <c r="L104" s="10"/>
      <c r="O104" s="10"/>
      <c r="P104" s="10"/>
    </row>
    <row r="105" spans="2:16" s="4" customFormat="1" ht="15" customHeight="1">
      <c r="B105" s="5"/>
      <c r="C105" s="5"/>
      <c r="E105" s="19"/>
      <c r="F105" s="19"/>
      <c r="H105" s="5"/>
      <c r="I105" s="5"/>
      <c r="K105" s="10"/>
      <c r="L105" s="10"/>
      <c r="O105" s="10"/>
      <c r="P105" s="10"/>
    </row>
    <row r="106" spans="2:16" s="4" customFormat="1" ht="15" customHeight="1">
      <c r="B106" s="5"/>
      <c r="C106" s="5"/>
      <c r="E106" s="19"/>
      <c r="F106" s="19"/>
      <c r="H106" s="5"/>
      <c r="I106" s="5"/>
      <c r="K106" s="10"/>
      <c r="L106" s="10"/>
      <c r="O106" s="10"/>
      <c r="P106" s="10"/>
    </row>
    <row r="107" spans="2:16" s="4" customFormat="1" ht="15" customHeight="1">
      <c r="B107" s="5"/>
      <c r="C107" s="5"/>
      <c r="E107" s="19"/>
      <c r="F107" s="19"/>
      <c r="H107" s="5"/>
      <c r="I107" s="5"/>
      <c r="K107" s="10"/>
      <c r="L107" s="10"/>
      <c r="O107" s="10"/>
      <c r="P107" s="10"/>
    </row>
    <row r="108" spans="2:16" s="4" customFormat="1" ht="15" customHeight="1">
      <c r="B108" s="5"/>
      <c r="C108" s="5"/>
      <c r="E108" s="19"/>
      <c r="F108" s="19"/>
      <c r="H108" s="5"/>
      <c r="I108" s="5"/>
      <c r="K108" s="10"/>
      <c r="L108" s="10"/>
      <c r="O108" s="10"/>
      <c r="P108" s="10"/>
    </row>
    <row r="109" spans="2:16" s="4" customFormat="1" ht="15" customHeight="1">
      <c r="B109" s="5"/>
      <c r="C109" s="5"/>
      <c r="E109" s="19"/>
      <c r="F109" s="19"/>
      <c r="H109" s="5"/>
      <c r="I109" s="5"/>
      <c r="K109" s="10"/>
      <c r="L109" s="10"/>
      <c r="O109" s="10"/>
      <c r="P109" s="10"/>
    </row>
    <row r="110" spans="2:16" s="4" customFormat="1" ht="15" customHeight="1">
      <c r="B110" s="5"/>
      <c r="C110" s="5"/>
      <c r="E110" s="19"/>
      <c r="F110" s="19"/>
      <c r="H110" s="5"/>
      <c r="I110" s="5"/>
      <c r="K110" s="10"/>
      <c r="L110" s="10"/>
      <c r="O110" s="10"/>
      <c r="P110" s="10"/>
    </row>
    <row r="111" spans="2:16" s="4" customFormat="1" ht="15" customHeight="1">
      <c r="B111" s="5"/>
      <c r="C111" s="5"/>
      <c r="E111" s="19"/>
      <c r="F111" s="19"/>
      <c r="H111" s="5"/>
      <c r="I111" s="5"/>
      <c r="K111" s="10"/>
      <c r="L111" s="10"/>
      <c r="O111" s="10"/>
      <c r="P111" s="10"/>
    </row>
    <row r="112" spans="2:16" s="4" customFormat="1" ht="15" customHeight="1">
      <c r="B112" s="5"/>
      <c r="C112" s="5"/>
      <c r="E112" s="19"/>
      <c r="F112" s="19"/>
      <c r="H112" s="5"/>
      <c r="I112" s="5"/>
      <c r="K112" s="10"/>
      <c r="L112" s="10"/>
      <c r="O112" s="10"/>
      <c r="P112" s="10"/>
    </row>
    <row r="113" spans="2:18" s="4" customFormat="1" ht="15" customHeight="1">
      <c r="B113" s="5"/>
      <c r="C113" s="5"/>
      <c r="E113" s="19"/>
      <c r="F113" s="19"/>
      <c r="H113" s="5"/>
      <c r="I113" s="5"/>
      <c r="K113" s="10"/>
      <c r="L113" s="10"/>
      <c r="O113" s="10"/>
      <c r="P113" s="10"/>
    </row>
    <row r="114" spans="2:18" s="4" customFormat="1" ht="15" customHeight="1">
      <c r="B114" s="5"/>
      <c r="C114" s="5"/>
      <c r="E114" s="19"/>
      <c r="F114" s="19"/>
      <c r="H114" s="5"/>
      <c r="I114" s="5"/>
      <c r="K114" s="10"/>
      <c r="L114" s="10"/>
      <c r="O114" s="10"/>
      <c r="P114" s="10"/>
    </row>
    <row r="115" spans="2:18" s="4" customFormat="1" ht="15" customHeight="1">
      <c r="B115" s="5"/>
      <c r="C115" s="5"/>
      <c r="E115" s="19"/>
      <c r="F115" s="19"/>
      <c r="H115" s="5"/>
      <c r="I115" s="5"/>
      <c r="K115" s="10"/>
      <c r="L115" s="10"/>
      <c r="O115" s="10"/>
      <c r="P115" s="10"/>
    </row>
    <row r="116" spans="2:18" s="4" customFormat="1" ht="15" customHeight="1">
      <c r="B116" s="5"/>
      <c r="C116" s="5"/>
      <c r="E116" s="19"/>
      <c r="F116" s="19"/>
      <c r="H116" s="5"/>
      <c r="I116" s="5"/>
      <c r="K116" s="10"/>
      <c r="L116" s="10"/>
      <c r="O116" s="10"/>
      <c r="P116" s="10"/>
    </row>
    <row r="117" spans="2:18" s="4" customFormat="1" ht="15" customHeight="1">
      <c r="B117" s="5"/>
      <c r="C117" s="5"/>
      <c r="E117" s="19"/>
      <c r="F117" s="19"/>
      <c r="H117" s="5"/>
      <c r="I117" s="5"/>
      <c r="K117" s="10"/>
      <c r="L117" s="19"/>
      <c r="O117" s="10"/>
      <c r="P117" s="10"/>
    </row>
    <row r="118" spans="2:18" s="4" customFormat="1" ht="15" customHeight="1">
      <c r="B118" s="5"/>
      <c r="C118" s="5"/>
      <c r="E118" s="19"/>
      <c r="F118" s="19"/>
      <c r="H118" s="5"/>
      <c r="I118" s="5"/>
      <c r="K118" s="10"/>
      <c r="L118" s="19"/>
      <c r="O118" s="10"/>
      <c r="P118" s="10"/>
    </row>
    <row r="119" spans="2:18" s="4" customFormat="1" ht="15" customHeight="1">
      <c r="B119" s="5"/>
      <c r="C119" s="5"/>
      <c r="E119" s="19"/>
      <c r="F119" s="19"/>
      <c r="H119" s="5"/>
      <c r="I119" s="5"/>
      <c r="K119" s="10"/>
      <c r="L119" s="19"/>
      <c r="O119" s="10"/>
      <c r="P119" s="10"/>
    </row>
    <row r="120" spans="2:18" s="4" customFormat="1" ht="15" customHeight="1">
      <c r="B120" s="5"/>
      <c r="C120" s="5"/>
      <c r="E120" s="19"/>
      <c r="F120" s="19"/>
      <c r="H120" s="5"/>
      <c r="I120" s="5"/>
      <c r="K120" s="10"/>
      <c r="L120" s="19"/>
      <c r="O120" s="10"/>
      <c r="P120" s="10"/>
    </row>
    <row r="121" spans="2:18" s="4" customFormat="1" ht="15" customHeight="1">
      <c r="B121" s="5"/>
      <c r="C121" s="5"/>
      <c r="E121" s="19"/>
      <c r="F121" s="19"/>
      <c r="H121" s="5"/>
      <c r="I121" s="5"/>
      <c r="K121" s="10"/>
      <c r="L121" s="19"/>
      <c r="O121" s="10"/>
      <c r="P121" s="10"/>
    </row>
    <row r="122" spans="2:18" s="4" customFormat="1" ht="15" customHeight="1">
      <c r="B122" s="5"/>
      <c r="C122" s="5"/>
      <c r="E122" s="19"/>
      <c r="F122" s="19"/>
      <c r="H122" s="5"/>
      <c r="I122" s="5"/>
      <c r="K122" s="19"/>
      <c r="L122" s="19"/>
      <c r="O122" s="10"/>
      <c r="P122" s="10"/>
    </row>
    <row r="123" spans="2:18" s="4" customFormat="1" ht="15" customHeight="1">
      <c r="B123" s="5"/>
      <c r="C123" s="5"/>
      <c r="D123" s="5"/>
      <c r="E123" s="19"/>
      <c r="F123" s="19"/>
      <c r="H123" s="5"/>
      <c r="I123" s="5"/>
      <c r="K123" s="19"/>
      <c r="L123" s="19"/>
      <c r="O123" s="10"/>
      <c r="P123" s="10"/>
    </row>
    <row r="124" spans="2:18" s="4" customFormat="1" ht="15" customHeight="1">
      <c r="B124" s="5"/>
      <c r="C124" s="5"/>
      <c r="D124" s="5"/>
      <c r="E124" s="19"/>
      <c r="F124" s="19"/>
      <c r="H124" s="5"/>
      <c r="I124" s="5"/>
      <c r="K124" s="19"/>
      <c r="L124" s="19"/>
      <c r="O124" s="10"/>
      <c r="P124" s="10"/>
    </row>
    <row r="125" spans="2:18" s="4" customFormat="1" ht="15" customHeight="1">
      <c r="B125" s="5"/>
      <c r="C125" s="5"/>
      <c r="D125" s="5"/>
      <c r="E125" s="19"/>
      <c r="F125" s="19"/>
      <c r="H125" s="5"/>
      <c r="I125" s="5"/>
      <c r="K125" s="19"/>
      <c r="L125" s="19"/>
      <c r="N125" s="5"/>
      <c r="O125" s="10"/>
      <c r="P125" s="10"/>
    </row>
    <row r="126" spans="2:18" s="4" customFormat="1" ht="15" customHeight="1">
      <c r="B126" s="5"/>
      <c r="C126" s="5"/>
      <c r="D126" s="5"/>
      <c r="E126" s="19"/>
      <c r="F126" s="19"/>
      <c r="H126" s="5"/>
      <c r="I126" s="5"/>
      <c r="J126" s="5"/>
      <c r="K126" s="19"/>
      <c r="L126" s="19"/>
      <c r="N126" s="5"/>
      <c r="O126" s="10"/>
      <c r="P126" s="10"/>
    </row>
    <row r="127" spans="2:18" s="4" customFormat="1" ht="15" customHeight="1">
      <c r="B127" s="5"/>
      <c r="C127" s="5"/>
      <c r="D127" s="5"/>
      <c r="E127" s="19"/>
      <c r="F127" s="19"/>
      <c r="H127" s="5"/>
      <c r="I127" s="5"/>
      <c r="J127" s="5"/>
      <c r="K127" s="19"/>
      <c r="L127" s="19"/>
      <c r="N127" s="5"/>
      <c r="O127" s="19"/>
      <c r="P127" s="10"/>
    </row>
    <row r="128" spans="2:18" s="4" customFormat="1" ht="15" customHeight="1">
      <c r="B128" s="5"/>
      <c r="C128" s="5"/>
      <c r="D128" s="5"/>
      <c r="E128" s="19"/>
      <c r="F128" s="19"/>
      <c r="H128" s="5"/>
      <c r="I128" s="5"/>
      <c r="J128" s="5"/>
      <c r="K128" s="19"/>
      <c r="L128" s="19"/>
      <c r="N128" s="5"/>
      <c r="O128" s="19"/>
      <c r="P128" s="19"/>
      <c r="R128" s="5"/>
    </row>
    <row r="129" spans="2:18" s="4" customFormat="1" ht="15" customHeight="1">
      <c r="B129" s="5"/>
      <c r="C129" s="5"/>
      <c r="D129" s="5"/>
      <c r="E129" s="19"/>
      <c r="F129" s="19"/>
      <c r="H129" s="5"/>
      <c r="I129" s="5"/>
      <c r="J129" s="5"/>
      <c r="K129" s="19"/>
      <c r="L129" s="19"/>
      <c r="N129" s="5"/>
      <c r="O129" s="19"/>
      <c r="P129" s="19"/>
      <c r="R129" s="5"/>
    </row>
  </sheetData>
  <mergeCells count="15">
    <mergeCell ref="L27:N27"/>
    <mergeCell ref="B26:F26"/>
    <mergeCell ref="B34:C34"/>
    <mergeCell ref="E34:F34"/>
    <mergeCell ref="H34:I34"/>
    <mergeCell ref="B2:C6"/>
    <mergeCell ref="B1:I1"/>
    <mergeCell ref="L2:N2"/>
    <mergeCell ref="B7:C13"/>
    <mergeCell ref="B14:C19"/>
    <mergeCell ref="B20:C23"/>
    <mergeCell ref="D23:D24"/>
    <mergeCell ref="B24:C24"/>
    <mergeCell ref="L18:N18"/>
    <mergeCell ref="L10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C11E-E21D-407A-A292-2D050CF5EA53}">
  <dimension ref="A2:T57"/>
  <sheetViews>
    <sheetView workbookViewId="0">
      <selection activeCell="L27" sqref="L27"/>
    </sheetView>
  </sheetViews>
  <sheetFormatPr defaultRowHeight="15"/>
  <cols>
    <col min="2" max="2" width="11" bestFit="1" customWidth="1"/>
  </cols>
  <sheetData>
    <row r="2" spans="2:19">
      <c r="B2" t="s">
        <v>0</v>
      </c>
      <c r="D2" t="s">
        <v>185</v>
      </c>
      <c r="E2" t="s">
        <v>186</v>
      </c>
      <c r="F2" t="s">
        <v>187</v>
      </c>
      <c r="I2" t="s">
        <v>188</v>
      </c>
      <c r="J2" t="s">
        <v>189</v>
      </c>
      <c r="L2" t="s">
        <v>190</v>
      </c>
      <c r="O2" t="s">
        <v>191</v>
      </c>
      <c r="P2" t="s">
        <v>192</v>
      </c>
      <c r="Q2" t="s">
        <v>193</v>
      </c>
      <c r="R2" t="s">
        <v>194</v>
      </c>
    </row>
    <row r="3" spans="2:19">
      <c r="C3" t="s">
        <v>195</v>
      </c>
      <c r="D3">
        <v>94</v>
      </c>
      <c r="E3">
        <v>371</v>
      </c>
      <c r="F3">
        <v>127</v>
      </c>
      <c r="I3" t="s">
        <v>195</v>
      </c>
      <c r="J3">
        <v>380</v>
      </c>
      <c r="O3" t="s">
        <v>196</v>
      </c>
      <c r="P3">
        <v>26</v>
      </c>
      <c r="Q3">
        <v>177</v>
      </c>
      <c r="R3">
        <v>45</v>
      </c>
      <c r="S3" t="s">
        <v>197</v>
      </c>
    </row>
    <row r="4" spans="2:19">
      <c r="C4" t="s">
        <v>198</v>
      </c>
      <c r="D4">
        <v>49</v>
      </c>
      <c r="E4">
        <v>281</v>
      </c>
      <c r="F4">
        <v>97</v>
      </c>
      <c r="I4" t="s">
        <v>198</v>
      </c>
      <c r="J4">
        <v>272</v>
      </c>
      <c r="O4" t="s">
        <v>196</v>
      </c>
      <c r="P4">
        <v>29</v>
      </c>
      <c r="Q4">
        <v>181</v>
      </c>
      <c r="R4">
        <v>45</v>
      </c>
    </row>
    <row r="5" spans="2:19">
      <c r="C5" t="s">
        <v>199</v>
      </c>
      <c r="D5">
        <v>41</v>
      </c>
      <c r="E5">
        <v>290</v>
      </c>
      <c r="F5">
        <v>104</v>
      </c>
      <c r="I5" t="s">
        <v>199</v>
      </c>
      <c r="J5">
        <v>283</v>
      </c>
    </row>
    <row r="6" spans="2:19">
      <c r="C6" t="s">
        <v>200</v>
      </c>
      <c r="D6">
        <v>61</v>
      </c>
      <c r="E6">
        <v>193</v>
      </c>
      <c r="F6">
        <v>56</v>
      </c>
      <c r="I6" t="s">
        <v>200</v>
      </c>
      <c r="J6">
        <v>119</v>
      </c>
    </row>
    <row r="7" spans="2:19">
      <c r="C7" t="s">
        <v>201</v>
      </c>
      <c r="D7">
        <v>40</v>
      </c>
      <c r="E7">
        <v>152</v>
      </c>
      <c r="F7">
        <v>19</v>
      </c>
      <c r="I7" t="s">
        <v>201</v>
      </c>
      <c r="J7">
        <v>122</v>
      </c>
    </row>
    <row r="19" spans="2:20">
      <c r="B19" t="s">
        <v>202</v>
      </c>
      <c r="N19" t="s">
        <v>203</v>
      </c>
      <c r="R19" t="s">
        <v>188</v>
      </c>
      <c r="T19" t="s">
        <v>204</v>
      </c>
    </row>
    <row r="20" spans="2:20">
      <c r="C20" t="s">
        <v>188</v>
      </c>
      <c r="D20" t="s">
        <v>192</v>
      </c>
      <c r="E20" t="s">
        <v>193</v>
      </c>
      <c r="F20" t="s">
        <v>194</v>
      </c>
      <c r="I20" t="s">
        <v>188</v>
      </c>
      <c r="J20" t="s">
        <v>189</v>
      </c>
      <c r="N20" t="s">
        <v>188</v>
      </c>
      <c r="P20" t="s">
        <v>205</v>
      </c>
      <c r="R20" t="s">
        <v>72</v>
      </c>
      <c r="T20">
        <v>10</v>
      </c>
    </row>
    <row r="21" spans="2:20">
      <c r="C21" t="s">
        <v>195</v>
      </c>
      <c r="D21">
        <v>13</v>
      </c>
      <c r="E21">
        <v>70</v>
      </c>
      <c r="F21">
        <v>13</v>
      </c>
      <c r="I21" t="s">
        <v>195</v>
      </c>
      <c r="J21">
        <v>63</v>
      </c>
      <c r="N21" t="s">
        <v>101</v>
      </c>
      <c r="P21">
        <v>11</v>
      </c>
      <c r="R21" t="s">
        <v>129</v>
      </c>
      <c r="T21">
        <v>8</v>
      </c>
    </row>
    <row r="22" spans="2:20">
      <c r="C22" t="s">
        <v>198</v>
      </c>
      <c r="D22">
        <v>16</v>
      </c>
      <c r="E22">
        <v>96</v>
      </c>
      <c r="F22">
        <v>40</v>
      </c>
      <c r="I22" t="s">
        <v>198</v>
      </c>
      <c r="J22">
        <v>98</v>
      </c>
      <c r="N22" t="s">
        <v>77</v>
      </c>
      <c r="P22">
        <v>11</v>
      </c>
      <c r="R22" t="s">
        <v>108</v>
      </c>
      <c r="T22">
        <v>6</v>
      </c>
    </row>
    <row r="23" spans="2:20">
      <c r="C23" t="s">
        <v>199</v>
      </c>
      <c r="D23">
        <v>22</v>
      </c>
      <c r="E23">
        <v>170</v>
      </c>
      <c r="F23">
        <v>62</v>
      </c>
      <c r="I23" t="s">
        <v>199</v>
      </c>
      <c r="J23">
        <v>120</v>
      </c>
      <c r="N23" t="s">
        <v>81</v>
      </c>
      <c r="P23">
        <v>10</v>
      </c>
      <c r="R23" t="s">
        <v>130</v>
      </c>
      <c r="T23">
        <v>6</v>
      </c>
    </row>
    <row r="24" spans="2:20">
      <c r="C24" t="s">
        <v>200</v>
      </c>
      <c r="D24">
        <v>42</v>
      </c>
      <c r="E24">
        <v>205</v>
      </c>
      <c r="F24">
        <v>58</v>
      </c>
      <c r="I24" t="s">
        <v>200</v>
      </c>
      <c r="J24">
        <f>59+54</f>
        <v>113</v>
      </c>
      <c r="N24" t="s">
        <v>206</v>
      </c>
      <c r="P24">
        <v>10</v>
      </c>
      <c r="R24" t="s">
        <v>207</v>
      </c>
      <c r="T24">
        <v>5</v>
      </c>
    </row>
    <row r="25" spans="2:20">
      <c r="C25" t="s">
        <v>201</v>
      </c>
      <c r="D25">
        <v>37</v>
      </c>
      <c r="E25">
        <v>161</v>
      </c>
      <c r="F25">
        <v>41</v>
      </c>
      <c r="I25" t="s">
        <v>201</v>
      </c>
      <c r="J25">
        <f>75+22</f>
        <v>97</v>
      </c>
      <c r="N25" t="s">
        <v>85</v>
      </c>
      <c r="P25">
        <v>9</v>
      </c>
      <c r="R25" t="s">
        <v>208</v>
      </c>
      <c r="T25">
        <v>4</v>
      </c>
    </row>
    <row r="26" spans="2:20">
      <c r="N26" t="s">
        <v>209</v>
      </c>
      <c r="P26">
        <v>7</v>
      </c>
      <c r="R26" t="s">
        <v>210</v>
      </c>
      <c r="T26">
        <v>4</v>
      </c>
    </row>
    <row r="27" spans="2:20">
      <c r="N27" t="s">
        <v>211</v>
      </c>
      <c r="P27">
        <v>1</v>
      </c>
      <c r="R27" t="s">
        <v>100</v>
      </c>
      <c r="T27">
        <v>4</v>
      </c>
    </row>
    <row r="28" spans="2:20">
      <c r="R28" t="s">
        <v>212</v>
      </c>
      <c r="T28">
        <v>3</v>
      </c>
    </row>
    <row r="29" spans="2:20">
      <c r="P29">
        <f>SUM(P21:P28)</f>
        <v>59</v>
      </c>
      <c r="R29" t="s">
        <v>84</v>
      </c>
      <c r="T29">
        <v>2</v>
      </c>
    </row>
    <row r="30" spans="2:20">
      <c r="R30" t="s">
        <v>213</v>
      </c>
      <c r="T30">
        <v>1</v>
      </c>
    </row>
    <row r="31" spans="2:20">
      <c r="R31" t="s">
        <v>214</v>
      </c>
      <c r="T31">
        <v>1</v>
      </c>
    </row>
    <row r="32" spans="2:20">
      <c r="R32" t="s">
        <v>215</v>
      </c>
      <c r="T32">
        <v>0</v>
      </c>
    </row>
    <row r="33" spans="2:20">
      <c r="R33" t="s">
        <v>216</v>
      </c>
      <c r="T33">
        <v>0</v>
      </c>
    </row>
    <row r="34" spans="2:20">
      <c r="R34" t="s">
        <v>104</v>
      </c>
      <c r="T34">
        <v>0</v>
      </c>
    </row>
    <row r="35" spans="2:20">
      <c r="B35" t="s">
        <v>197</v>
      </c>
      <c r="R35" t="s">
        <v>217</v>
      </c>
      <c r="T35">
        <v>0</v>
      </c>
    </row>
    <row r="36" spans="2:20">
      <c r="B36" t="s">
        <v>188</v>
      </c>
      <c r="C36" t="s">
        <v>218</v>
      </c>
      <c r="D36" t="s">
        <v>219</v>
      </c>
      <c r="E36" t="s">
        <v>28</v>
      </c>
      <c r="R36" t="s">
        <v>220</v>
      </c>
      <c r="T36">
        <v>0</v>
      </c>
    </row>
    <row r="37" spans="2:20">
      <c r="B37" t="s">
        <v>221</v>
      </c>
      <c r="C37">
        <v>7</v>
      </c>
      <c r="D37">
        <v>3</v>
      </c>
      <c r="E37">
        <v>1</v>
      </c>
      <c r="R37" t="s">
        <v>222</v>
      </c>
      <c r="T37">
        <v>0</v>
      </c>
    </row>
    <row r="38" spans="2:20">
      <c r="B38" t="s">
        <v>223</v>
      </c>
      <c r="C38">
        <v>1</v>
      </c>
      <c r="D38">
        <v>0</v>
      </c>
      <c r="E38">
        <v>0</v>
      </c>
      <c r="R38" t="s">
        <v>123</v>
      </c>
      <c r="T38">
        <v>0</v>
      </c>
    </row>
    <row r="39" spans="2:20">
      <c r="B39" t="s">
        <v>224</v>
      </c>
      <c r="C39">
        <v>0</v>
      </c>
      <c r="D39">
        <v>0</v>
      </c>
      <c r="E39">
        <v>0</v>
      </c>
      <c r="R39" t="s">
        <v>225</v>
      </c>
      <c r="T39">
        <v>0</v>
      </c>
    </row>
    <row r="40" spans="2:20">
      <c r="B40" t="s">
        <v>226</v>
      </c>
      <c r="C40">
        <v>3</v>
      </c>
      <c r="D40">
        <v>0</v>
      </c>
      <c r="E40">
        <v>1</v>
      </c>
      <c r="R40" t="s">
        <v>227</v>
      </c>
      <c r="T40">
        <v>0</v>
      </c>
    </row>
    <row r="41" spans="2:20">
      <c r="B41" t="s">
        <v>228</v>
      </c>
      <c r="C41">
        <v>1</v>
      </c>
      <c r="D41">
        <v>0</v>
      </c>
      <c r="E41">
        <v>0</v>
      </c>
      <c r="R41" t="s">
        <v>229</v>
      </c>
      <c r="T41">
        <v>0</v>
      </c>
    </row>
    <row r="42" spans="2:20">
      <c r="R42" t="s">
        <v>230</v>
      </c>
      <c r="T42">
        <v>0</v>
      </c>
    </row>
    <row r="43" spans="2:20">
      <c r="B43" t="s">
        <v>231</v>
      </c>
      <c r="R43" t="s">
        <v>232</v>
      </c>
      <c r="T43">
        <v>0</v>
      </c>
    </row>
    <row r="44" spans="2:20">
      <c r="B44" t="s">
        <v>188</v>
      </c>
      <c r="C44" t="s">
        <v>218</v>
      </c>
      <c r="D44" t="s">
        <v>219</v>
      </c>
      <c r="E44" t="s">
        <v>28</v>
      </c>
    </row>
    <row r="45" spans="2:20">
      <c r="B45" t="s">
        <v>221</v>
      </c>
      <c r="C45">
        <v>19</v>
      </c>
      <c r="D45">
        <v>7</v>
      </c>
      <c r="E45">
        <v>5</v>
      </c>
      <c r="T45">
        <f>SUM(T20:T44)</f>
        <v>54</v>
      </c>
    </row>
    <row r="46" spans="2:20">
      <c r="B46" t="s">
        <v>223</v>
      </c>
      <c r="C46">
        <v>3</v>
      </c>
      <c r="D46">
        <v>2</v>
      </c>
      <c r="E46">
        <v>0</v>
      </c>
    </row>
    <row r="47" spans="2:20">
      <c r="B47" t="s">
        <v>224</v>
      </c>
      <c r="C47">
        <v>2</v>
      </c>
      <c r="D47">
        <v>2</v>
      </c>
      <c r="E47">
        <v>0</v>
      </c>
    </row>
    <row r="48" spans="2:20">
      <c r="B48" t="s">
        <v>226</v>
      </c>
      <c r="C48">
        <v>7</v>
      </c>
      <c r="D48">
        <v>0</v>
      </c>
      <c r="E48">
        <v>0</v>
      </c>
    </row>
    <row r="49" spans="1:9">
      <c r="B49" t="s">
        <v>228</v>
      </c>
      <c r="C49">
        <v>1</v>
      </c>
      <c r="D49">
        <v>0</v>
      </c>
      <c r="E49">
        <v>0</v>
      </c>
    </row>
    <row r="51" spans="1:9">
      <c r="G51" t="s">
        <v>233</v>
      </c>
      <c r="H51" t="s">
        <v>234</v>
      </c>
    </row>
    <row r="52" spans="1:9">
      <c r="A52" t="s">
        <v>235</v>
      </c>
      <c r="B52" t="s">
        <v>234</v>
      </c>
      <c r="H52" t="s">
        <v>188</v>
      </c>
      <c r="I52" t="s">
        <v>236</v>
      </c>
    </row>
    <row r="53" spans="1:9">
      <c r="B53" t="s">
        <v>195</v>
      </c>
      <c r="C53">
        <v>184</v>
      </c>
      <c r="H53" t="s">
        <v>195</v>
      </c>
      <c r="I53">
        <v>301</v>
      </c>
    </row>
    <row r="54" spans="1:9">
      <c r="B54" t="s">
        <v>198</v>
      </c>
      <c r="C54">
        <v>209</v>
      </c>
      <c r="H54" t="s">
        <v>198</v>
      </c>
      <c r="I54">
        <v>763</v>
      </c>
    </row>
    <row r="55" spans="1:9">
      <c r="B55" t="s">
        <v>199</v>
      </c>
      <c r="C55">
        <v>815</v>
      </c>
      <c r="H55" t="s">
        <v>199</v>
      </c>
      <c r="I55">
        <v>811</v>
      </c>
    </row>
    <row r="56" spans="1:9">
      <c r="B56" t="s">
        <v>200</v>
      </c>
      <c r="C56">
        <v>453</v>
      </c>
      <c r="H56" t="s">
        <v>200</v>
      </c>
      <c r="I56">
        <v>1238</v>
      </c>
    </row>
    <row r="57" spans="1:9">
      <c r="B57" t="s">
        <v>201</v>
      </c>
      <c r="C57">
        <v>705</v>
      </c>
      <c r="H57" t="s">
        <v>201</v>
      </c>
      <c r="I57">
        <v>1399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337D-C55E-4420-AEDF-56B6C205CD09}">
  <dimension ref="A1:BH7"/>
  <sheetViews>
    <sheetView workbookViewId="0">
      <pane xSplit="2" topLeftCell="C1" activePane="topRight" state="frozen"/>
      <selection pane="topRight" activeCell="F16" sqref="F16"/>
    </sheetView>
  </sheetViews>
  <sheetFormatPr defaultRowHeight="12"/>
  <cols>
    <col min="1" max="1" width="7.42578125" style="41" customWidth="1"/>
    <col min="2" max="2" width="14.7109375" style="41" customWidth="1"/>
    <col min="3" max="15" width="9.42578125" style="41" customWidth="1"/>
    <col min="16" max="60" width="9.140625" style="41" customWidth="1"/>
    <col min="61" max="16384" width="9.140625" style="41"/>
  </cols>
  <sheetData>
    <row r="1" spans="1:60" s="40" customFormat="1" ht="22.5" customHeight="1">
      <c r="B1" s="88" t="s">
        <v>3</v>
      </c>
      <c r="C1" s="90">
        <v>46054</v>
      </c>
      <c r="D1" s="90"/>
      <c r="E1" s="90">
        <v>46055</v>
      </c>
      <c r="F1" s="90"/>
      <c r="G1" s="90">
        <v>46056</v>
      </c>
      <c r="H1" s="90"/>
      <c r="I1" s="90">
        <v>46057</v>
      </c>
      <c r="J1" s="90"/>
      <c r="K1" s="90">
        <v>46058</v>
      </c>
      <c r="L1" s="90"/>
      <c r="M1" s="90">
        <v>46059</v>
      </c>
      <c r="N1" s="90"/>
      <c r="O1" s="90">
        <v>46060</v>
      </c>
      <c r="P1" s="90"/>
      <c r="Q1" s="90">
        <v>46061</v>
      </c>
      <c r="R1" s="90"/>
      <c r="S1" s="90">
        <v>46062</v>
      </c>
      <c r="T1" s="90"/>
      <c r="U1" s="90">
        <v>46063</v>
      </c>
      <c r="V1" s="90"/>
      <c r="W1" s="90">
        <v>46064</v>
      </c>
      <c r="X1" s="90"/>
      <c r="Y1" s="90">
        <v>46065</v>
      </c>
      <c r="Z1" s="90"/>
      <c r="AA1" s="90">
        <v>46066</v>
      </c>
      <c r="AB1" s="90"/>
      <c r="AC1" s="90">
        <v>46067</v>
      </c>
      <c r="AD1" s="90"/>
      <c r="AE1" s="90">
        <v>46068</v>
      </c>
      <c r="AF1" s="90"/>
      <c r="AG1" s="90">
        <v>46069</v>
      </c>
      <c r="AH1" s="90"/>
      <c r="AI1" s="90">
        <v>46070</v>
      </c>
      <c r="AJ1" s="90"/>
      <c r="AK1" s="90">
        <v>46071</v>
      </c>
      <c r="AL1" s="90"/>
      <c r="AM1" s="90">
        <v>46072</v>
      </c>
      <c r="AN1" s="90"/>
      <c r="AO1" s="90">
        <v>46073</v>
      </c>
      <c r="AP1" s="90"/>
      <c r="AQ1" s="90">
        <v>46074</v>
      </c>
      <c r="AR1" s="90"/>
      <c r="AS1" s="90">
        <v>46075</v>
      </c>
      <c r="AT1" s="90"/>
      <c r="AU1" s="90">
        <v>46076</v>
      </c>
      <c r="AV1" s="90"/>
      <c r="AW1" s="90">
        <v>46077</v>
      </c>
      <c r="AX1" s="90"/>
      <c r="AY1" s="90">
        <v>46078</v>
      </c>
      <c r="AZ1" s="90"/>
      <c r="BA1" s="90">
        <v>46079</v>
      </c>
      <c r="BB1" s="90"/>
      <c r="BC1" s="90">
        <v>46080</v>
      </c>
      <c r="BD1" s="90"/>
      <c r="BE1" s="90">
        <v>46081</v>
      </c>
      <c r="BF1" s="90"/>
      <c r="BG1" s="91" t="s">
        <v>31</v>
      </c>
      <c r="BH1" s="91"/>
    </row>
    <row r="2" spans="1:60" s="40" customFormat="1" ht="24.75">
      <c r="A2" s="42" t="s">
        <v>237</v>
      </c>
      <c r="B2" s="89"/>
      <c r="C2" s="45" t="s">
        <v>238</v>
      </c>
      <c r="D2" s="45" t="s">
        <v>5</v>
      </c>
      <c r="E2" s="45" t="s">
        <v>238</v>
      </c>
      <c r="F2" s="45" t="s">
        <v>5</v>
      </c>
      <c r="G2" s="45" t="s">
        <v>238</v>
      </c>
      <c r="H2" s="45" t="s">
        <v>5</v>
      </c>
      <c r="I2" s="45" t="s">
        <v>238</v>
      </c>
      <c r="J2" s="45" t="s">
        <v>5</v>
      </c>
      <c r="K2" s="45" t="s">
        <v>238</v>
      </c>
      <c r="L2" s="45" t="s">
        <v>5</v>
      </c>
      <c r="M2" s="45" t="s">
        <v>238</v>
      </c>
      <c r="N2" s="45" t="s">
        <v>5</v>
      </c>
      <c r="O2" s="45" t="s">
        <v>238</v>
      </c>
      <c r="P2" s="45" t="s">
        <v>5</v>
      </c>
      <c r="Q2" s="45" t="s">
        <v>238</v>
      </c>
      <c r="R2" s="45" t="s">
        <v>5</v>
      </c>
      <c r="S2" s="45" t="s">
        <v>238</v>
      </c>
      <c r="T2" s="45" t="s">
        <v>5</v>
      </c>
      <c r="U2" s="45" t="s">
        <v>238</v>
      </c>
      <c r="V2" s="45" t="s">
        <v>5</v>
      </c>
      <c r="W2" s="45" t="s">
        <v>238</v>
      </c>
      <c r="X2" s="45" t="s">
        <v>5</v>
      </c>
      <c r="Y2" s="45" t="s">
        <v>238</v>
      </c>
      <c r="Z2" s="45" t="s">
        <v>5</v>
      </c>
      <c r="AA2" s="45" t="s">
        <v>238</v>
      </c>
      <c r="AB2" s="45" t="s">
        <v>5</v>
      </c>
      <c r="AC2" s="45" t="s">
        <v>238</v>
      </c>
      <c r="AD2" s="45" t="s">
        <v>5</v>
      </c>
      <c r="AE2" s="45" t="s">
        <v>238</v>
      </c>
      <c r="AF2" s="45" t="s">
        <v>5</v>
      </c>
      <c r="AG2" s="45" t="s">
        <v>238</v>
      </c>
      <c r="AH2" s="45" t="s">
        <v>5</v>
      </c>
      <c r="AI2" s="45" t="s">
        <v>238</v>
      </c>
      <c r="AJ2" s="45" t="s">
        <v>5</v>
      </c>
      <c r="AK2" s="45" t="s">
        <v>238</v>
      </c>
      <c r="AL2" s="45" t="s">
        <v>5</v>
      </c>
      <c r="AM2" s="45" t="s">
        <v>238</v>
      </c>
      <c r="AN2" s="45" t="s">
        <v>5</v>
      </c>
      <c r="AO2" s="45" t="s">
        <v>238</v>
      </c>
      <c r="AP2" s="45" t="s">
        <v>5</v>
      </c>
      <c r="AQ2" s="45" t="s">
        <v>238</v>
      </c>
      <c r="AR2" s="45" t="s">
        <v>5</v>
      </c>
      <c r="AS2" s="45" t="s">
        <v>238</v>
      </c>
      <c r="AT2" s="45" t="s">
        <v>5</v>
      </c>
      <c r="AU2" s="45" t="s">
        <v>238</v>
      </c>
      <c r="AV2" s="45" t="s">
        <v>5</v>
      </c>
      <c r="AW2" s="45" t="s">
        <v>238</v>
      </c>
      <c r="AX2" s="45" t="s">
        <v>5</v>
      </c>
      <c r="AY2" s="45" t="s">
        <v>238</v>
      </c>
      <c r="AZ2" s="45" t="s">
        <v>5</v>
      </c>
      <c r="BA2" s="45" t="s">
        <v>238</v>
      </c>
      <c r="BB2" s="45" t="s">
        <v>5</v>
      </c>
      <c r="BC2" s="45" t="s">
        <v>238</v>
      </c>
      <c r="BD2" s="45" t="s">
        <v>5</v>
      </c>
      <c r="BE2" s="45" t="s">
        <v>238</v>
      </c>
      <c r="BF2" s="45" t="s">
        <v>5</v>
      </c>
      <c r="BG2" s="46" t="s">
        <v>238</v>
      </c>
      <c r="BH2" s="47" t="s">
        <v>5</v>
      </c>
    </row>
    <row r="3" spans="1:60">
      <c r="B3" s="43" t="s">
        <v>13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>
        <f>+M3+O3+Q3+S3+U3+W3+Y3+AA3+AC3+AE3+AG3+AI3+AK3+AM3+AO3+AQ3+AS3+AU3+AW3+AY3+BA3+BC3+BE3</f>
        <v>0</v>
      </c>
      <c r="BH3" s="44">
        <f>+N3+P3+R3+T3+V3+X3+Z3+AB3+AD3+AF3+AH3+AJ3+AL3+AN3+AP3+AR3+AT3+AV3+AX3+AZ3+BB3+BD3+BF3</f>
        <v>0</v>
      </c>
    </row>
    <row r="4" spans="1:60">
      <c r="B4" s="43" t="s">
        <v>20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>
        <f t="shared" ref="BG4:BG7" si="0">+M4+O4+Q4+S4+U4+W4+Y4+AA4+AC4+AE4+AG4+AI4+AK4+AM4+AO4+AQ4+AS4+AU4+AW4+AY4+BA4+BC4+BE4</f>
        <v>0</v>
      </c>
      <c r="BH4" s="44">
        <f t="shared" ref="BH4:BH7" si="1">+N4+P4+R4+T4+V4+X4+Z4+AB4+AD4+AF4+AH4+AJ4+AL4+AN4+AP4+AR4+AT4+AV4+AX4+AZ4+BB4+BD4+BF4</f>
        <v>0</v>
      </c>
    </row>
    <row r="5" spans="1:60"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>
        <f t="shared" si="0"/>
        <v>0</v>
      </c>
      <c r="BH5" s="44">
        <f t="shared" si="1"/>
        <v>0</v>
      </c>
    </row>
    <row r="6" spans="1:60">
      <c r="B6" s="43" t="s">
        <v>27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>
        <f t="shared" si="0"/>
        <v>0</v>
      </c>
      <c r="BH6" s="44">
        <f t="shared" si="1"/>
        <v>0</v>
      </c>
    </row>
    <row r="7" spans="1:60">
      <c r="B7" s="43" t="s">
        <v>29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>
        <f t="shared" si="0"/>
        <v>0</v>
      </c>
      <c r="BH7" s="44">
        <f t="shared" si="1"/>
        <v>0</v>
      </c>
    </row>
  </sheetData>
  <mergeCells count="30">
    <mergeCell ref="BE1:BF1"/>
    <mergeCell ref="AU1:AV1"/>
    <mergeCell ref="AW1:AX1"/>
    <mergeCell ref="AY1:AZ1"/>
    <mergeCell ref="BA1:BB1"/>
    <mergeCell ref="BC1:BD1"/>
    <mergeCell ref="BG1:BH1"/>
    <mergeCell ref="I1:J1"/>
    <mergeCell ref="AI1:AJ1"/>
    <mergeCell ref="AK1:AL1"/>
    <mergeCell ref="AM1:AN1"/>
    <mergeCell ref="AO1:AP1"/>
    <mergeCell ref="K1:L1"/>
    <mergeCell ref="AG1:AH1"/>
    <mergeCell ref="U1:V1"/>
    <mergeCell ref="W1:X1"/>
    <mergeCell ref="Y1:Z1"/>
    <mergeCell ref="AA1:AB1"/>
    <mergeCell ref="AC1:AD1"/>
    <mergeCell ref="AE1:AF1"/>
    <mergeCell ref="AQ1:AR1"/>
    <mergeCell ref="AS1:AT1"/>
    <mergeCell ref="B1:B2"/>
    <mergeCell ref="M1:N1"/>
    <mergeCell ref="O1:P1"/>
    <mergeCell ref="Q1:R1"/>
    <mergeCell ref="S1:T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Isuiza</dc:creator>
  <cp:keywords/>
  <dc:description/>
  <cp:lastModifiedBy/>
  <cp:revision/>
  <dcterms:created xsi:type="dcterms:W3CDTF">2025-01-24T20:57:34Z</dcterms:created>
  <dcterms:modified xsi:type="dcterms:W3CDTF">2026-05-29T04:16:08Z</dcterms:modified>
  <cp:category/>
  <cp:contentStatus/>
</cp:coreProperties>
</file>