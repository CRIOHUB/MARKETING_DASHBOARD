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NOTA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0.0%"/>
    <numFmt numFmtId="166" formatCode="0.00&quot;x&quot;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305496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80808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CCFFCC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8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2" fillId="0" borderId="0" pivotButton="0" quotePrefix="0" xfId="0"/>
    <xf numFmtId="166" fontId="13" fillId="0" borderId="0" applyAlignment="1" pivotButton="0" quotePrefix="0" xfId="0">
      <alignment horizontal="center" vertical="center"/>
    </xf>
    <xf numFmtId="166" fontId="13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3" fontId="8" fillId="5" borderId="0" applyAlignment="1" pivotButton="0" quotePrefix="0" xfId="0">
      <alignment horizontal="center" vertical="center"/>
    </xf>
    <xf numFmtId="0" fontId="14" fillId="0" borderId="0" pivotButton="0" quotePrefix="0" xfId="0"/>
    <xf numFmtId="0" fontId="13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21" min="1" max="1"/>
    <col width="13" customWidth="1" style="21" min="2" max="14"/>
  </cols>
  <sheetData>
    <row r="1" ht="15" customHeight="1" s="22">
      <c r="A1" s="23" t="inlineStr">
        <is>
          <t>HOJA TOTAL - SEGUIMIENTO KPIS 2026 (v3)</t>
        </is>
      </c>
    </row>
    <row r="2"/>
    <row r="3" ht="15" customHeight="1" s="22">
      <c r="A3" s="24" t="inlineStr">
        <is>
          <t>MÉTRICA</t>
        </is>
      </c>
      <c r="B3" s="24" t="inlineStr">
        <is>
          <t>ENERO</t>
        </is>
      </c>
      <c r="C3" s="24" t="inlineStr">
        <is>
          <t>FEBRERO</t>
        </is>
      </c>
      <c r="D3" s="24" t="inlineStr">
        <is>
          <t>MARZO</t>
        </is>
      </c>
      <c r="E3" s="25" t="inlineStr">
        <is>
          <t>ABRIL</t>
        </is>
      </c>
      <c r="F3" s="24" t="inlineStr">
        <is>
          <t>MAYO</t>
        </is>
      </c>
      <c r="G3" s="24" t="inlineStr">
        <is>
          <t>JUNIO</t>
        </is>
      </c>
      <c r="H3" s="24" t="inlineStr">
        <is>
          <t>JULIO</t>
        </is>
      </c>
      <c r="I3" s="24" t="inlineStr">
        <is>
          <t>AGOSTO</t>
        </is>
      </c>
      <c r="J3" s="24" t="inlineStr">
        <is>
          <t>SEPTIEMBRE</t>
        </is>
      </c>
      <c r="K3" s="24" t="inlineStr">
        <is>
          <t>OCTUBRE</t>
        </is>
      </c>
      <c r="L3" s="24" t="inlineStr">
        <is>
          <t>NOVIEMBRE</t>
        </is>
      </c>
      <c r="M3" s="24" t="inlineStr">
        <is>
          <t>DICIEMBRE</t>
        </is>
      </c>
      <c r="N3" s="24" t="inlineStr">
        <is>
          <t>TOTAL</t>
        </is>
      </c>
    </row>
    <row r="4" ht="15" customHeight="1" s="22">
      <c r="A4" s="26" t="inlineStr">
        <is>
          <t>PROSPECTOS</t>
        </is>
      </c>
    </row>
    <row r="5" ht="15" customHeight="1" s="22">
      <c r="A5" s="27" t="inlineStr">
        <is>
          <t>INGRESADO 2026</t>
        </is>
      </c>
      <c r="B5" s="28" t="n">
        <v>2333</v>
      </c>
      <c r="C5" s="28" t="n">
        <v>2343</v>
      </c>
      <c r="D5" s="28" t="n">
        <v>1876</v>
      </c>
      <c r="E5" s="29" t="n">
        <v>3347</v>
      </c>
      <c r="F5" s="30" t="n"/>
      <c r="G5" s="30" t="n"/>
      <c r="H5" s="30" t="n"/>
      <c r="I5" s="30" t="n"/>
      <c r="J5" s="30" t="n"/>
      <c r="K5" s="30" t="n"/>
      <c r="L5" s="30" t="n"/>
      <c r="M5" s="30" t="n"/>
    </row>
    <row r="6" ht="15" customHeight="1" s="22">
      <c r="A6" s="27" t="inlineStr">
        <is>
          <t>MONTO 26 (S/)</t>
        </is>
      </c>
      <c r="B6" s="31" t="n">
        <v>12000</v>
      </c>
      <c r="C6" s="31" t="n">
        <v>12423</v>
      </c>
      <c r="D6" s="31" t="n">
        <v>18217</v>
      </c>
      <c r="E6" s="32" t="n">
        <v>19968.47</v>
      </c>
      <c r="F6" s="30" t="n"/>
      <c r="G6" s="30" t="n"/>
      <c r="H6" s="30" t="n"/>
      <c r="I6" s="30" t="n"/>
      <c r="J6" s="30" t="n"/>
      <c r="K6" s="30" t="n"/>
      <c r="L6" s="30" t="n"/>
      <c r="M6" s="30" t="n"/>
    </row>
    <row r="7" ht="15" customHeight="1" s="22">
      <c r="A7" s="27" t="inlineStr">
        <is>
          <t>INGRESADO 2025</t>
        </is>
      </c>
      <c r="B7" s="28" t="n">
        <v>1981</v>
      </c>
      <c r="C7" s="28" t="n">
        <v>2322</v>
      </c>
      <c r="D7" s="28" t="n">
        <v>2823</v>
      </c>
      <c r="E7" s="29" t="n">
        <v>2209</v>
      </c>
      <c r="F7" s="28" t="n">
        <v>2300</v>
      </c>
      <c r="G7" s="28" t="n">
        <v>2700</v>
      </c>
      <c r="H7" s="28" t="n">
        <v>2217</v>
      </c>
      <c r="I7" s="28" t="n">
        <v>2890</v>
      </c>
      <c r="J7" s="28" t="n">
        <v>1755</v>
      </c>
      <c r="K7" s="28" t="n">
        <v>920</v>
      </c>
      <c r="L7" s="28" t="n">
        <v>978</v>
      </c>
      <c r="M7" s="28" t="n">
        <v>1246</v>
      </c>
    </row>
    <row r="8" ht="15" customHeight="1" s="22">
      <c r="A8" s="27" t="inlineStr">
        <is>
          <t>MONTO 25 (S/)</t>
        </is>
      </c>
      <c r="B8" s="31" t="n">
        <v>20020.4</v>
      </c>
      <c r="C8" s="31" t="n">
        <v>22811.4</v>
      </c>
      <c r="D8" s="31" t="n">
        <v>12542</v>
      </c>
      <c r="E8" s="32" t="n">
        <v>11989</v>
      </c>
      <c r="F8" s="30" t="n"/>
      <c r="G8" s="30" t="n"/>
      <c r="H8" s="30" t="n"/>
      <c r="I8" s="30" t="n"/>
      <c r="J8" s="30" t="n"/>
      <c r="K8" s="30" t="n"/>
      <c r="L8" s="30" t="n"/>
      <c r="M8" s="30" t="n"/>
    </row>
    <row r="9" ht="15" customHeight="1" s="22">
      <c r="A9" s="27" t="inlineStr">
        <is>
          <t>VALIDOS 2026</t>
        </is>
      </c>
      <c r="B9" s="28" t="n">
        <v>1765</v>
      </c>
      <c r="C9" s="28" t="n">
        <v>1696</v>
      </c>
      <c r="D9" s="28" t="n">
        <v>1443</v>
      </c>
      <c r="E9" s="29" t="n">
        <v>1417</v>
      </c>
      <c r="F9" s="30" t="n"/>
      <c r="G9" s="30" t="n"/>
      <c r="H9" s="30" t="n"/>
      <c r="I9" s="30" t="n"/>
      <c r="J9" s="30" t="n"/>
      <c r="K9" s="30" t="n"/>
      <c r="L9" s="30" t="n"/>
      <c r="M9" s="30" t="n"/>
    </row>
    <row r="10" ht="15" customHeight="1" s="22">
      <c r="A10" s="27" t="inlineStr">
        <is>
          <t>% VALIDACIÓN 2026</t>
        </is>
      </c>
      <c r="B10" s="33">
        <f>IFERROR(B9/B5,"")</f>
        <v/>
      </c>
      <c r="C10" s="33">
        <f>IFERROR(C9/C5,"")</f>
        <v/>
      </c>
      <c r="D10" s="33">
        <f>IFERROR(D9/D5,"")</f>
        <v/>
      </c>
      <c r="E10" s="34">
        <f>IFERROR(E9/E5,"")</f>
        <v/>
      </c>
      <c r="F10" s="33">
        <f>IFERROR(F9/F5,"")</f>
        <v/>
      </c>
      <c r="G10" s="33">
        <f>IFERROR(G9/G5,"")</f>
        <v/>
      </c>
      <c r="H10" s="33">
        <f>IFERROR(H9/H5,"")</f>
        <v/>
      </c>
      <c r="I10" s="33">
        <f>IFERROR(I9/I5,"")</f>
        <v/>
      </c>
      <c r="J10" s="33">
        <f>IFERROR(J9/J5,"")</f>
        <v/>
      </c>
      <c r="K10" s="33">
        <f>IFERROR(K9/K5,"")</f>
        <v/>
      </c>
      <c r="L10" s="33">
        <f>IFERROR(L9/L5,"")</f>
        <v/>
      </c>
      <c r="M10" s="33">
        <f>IFERROR(M9/M5,"")</f>
        <v/>
      </c>
    </row>
    <row r="11" ht="15" customHeight="1" s="22">
      <c r="A11" s="27" t="inlineStr">
        <is>
          <t>VALIDOS 2025</t>
        </is>
      </c>
      <c r="B11" s="28" t="n">
        <v>896</v>
      </c>
      <c r="C11" s="28" t="n">
        <v>1338</v>
      </c>
      <c r="D11" s="28" t="n">
        <v>2070</v>
      </c>
      <c r="E11" s="29" t="n">
        <v>2209</v>
      </c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15" customHeight="1" s="22">
      <c r="A12" s="27" t="inlineStr">
        <is>
          <t>% vs LY</t>
        </is>
      </c>
      <c r="B12" s="33">
        <f>IFERROR(B9/B11-1,"")</f>
        <v/>
      </c>
      <c r="C12" s="33">
        <f>IFERROR(C9/C11-1,"")</f>
        <v/>
      </c>
      <c r="D12" s="33">
        <f>IFERROR(D9/D11-1,"")</f>
        <v/>
      </c>
      <c r="E12" s="34">
        <f>IFERROR(E9/E11-1,"")</f>
        <v/>
      </c>
      <c r="F12" s="33">
        <f>IFERROR(F9/F11-1,"")</f>
        <v/>
      </c>
      <c r="G12" s="33">
        <f>IFERROR(G9/G11-1,"")</f>
        <v/>
      </c>
      <c r="H12" s="33">
        <f>IFERROR(H9/H11-1,"")</f>
        <v/>
      </c>
      <c r="I12" s="33">
        <f>IFERROR(I9/I11-1,"")</f>
        <v/>
      </c>
      <c r="J12" s="33">
        <f>IFERROR(J9/J11-1,"")</f>
        <v/>
      </c>
      <c r="K12" s="33">
        <f>IFERROR(K9/K11-1,"")</f>
        <v/>
      </c>
      <c r="L12" s="33">
        <f>IFERROR(L9/L11-1,"")</f>
        <v/>
      </c>
      <c r="M12" s="33">
        <f>IFERROR(M9/M11-1,"")</f>
        <v/>
      </c>
    </row>
    <row r="13"/>
    <row r="14" ht="15" customHeight="1" s="22">
      <c r="A14" s="26" t="inlineStr">
        <is>
          <t>VENTAS POR SERVICIO 2026</t>
        </is>
      </c>
    </row>
    <row r="15" ht="15" customHeight="1" s="22">
      <c r="A15" s="27" t="inlineStr">
        <is>
          <t>UCU (CORDONES)</t>
        </is>
      </c>
      <c r="B15" s="28" t="n">
        <v>80</v>
      </c>
      <c r="C15" s="28" t="n">
        <v>51</v>
      </c>
      <c r="D15" s="28" t="n">
        <v>57</v>
      </c>
      <c r="E15" s="29" t="n">
        <v>41</v>
      </c>
      <c r="F15" s="30" t="n"/>
      <c r="G15" s="30" t="n"/>
      <c r="H15" s="30" t="n"/>
      <c r="I15" s="30" t="n"/>
      <c r="J15" s="30" t="n"/>
      <c r="K15" s="30" t="n"/>
      <c r="L15" s="30" t="n"/>
      <c r="M15" s="30" t="n"/>
    </row>
    <row r="16" ht="15" customHeight="1" s="22">
      <c r="A16" s="27" t="inlineStr">
        <is>
          <t>ADN</t>
        </is>
      </c>
      <c r="B16" s="28" t="n">
        <v>27</v>
      </c>
      <c r="C16" s="28" t="n">
        <v>9</v>
      </c>
      <c r="D16" s="28" t="n">
        <v>20</v>
      </c>
      <c r="E16" s="29" t="n">
        <v>2</v>
      </c>
      <c r="F16" s="30" t="n"/>
      <c r="G16" s="30" t="n"/>
      <c r="H16" s="30" t="n"/>
      <c r="I16" s="30" t="n"/>
      <c r="J16" s="30" t="n"/>
      <c r="K16" s="30" t="n"/>
      <c r="L16" s="30" t="n"/>
      <c r="M16" s="30" t="n"/>
    </row>
    <row r="17" ht="15" customHeight="1" s="22">
      <c r="A17" s="27" t="inlineStr">
        <is>
          <t>TAMIZ (TAMIZAJE)</t>
        </is>
      </c>
      <c r="B17" s="28" t="n">
        <v>30</v>
      </c>
      <c r="C17" s="28" t="n">
        <v>18</v>
      </c>
      <c r="D17" s="28" t="n">
        <v>18</v>
      </c>
      <c r="E17" s="29" t="n">
        <v>3</v>
      </c>
      <c r="F17" s="30" t="n"/>
      <c r="G17" s="30" t="n"/>
      <c r="H17" s="30" t="n"/>
      <c r="I17" s="30" t="n"/>
      <c r="J17" s="30" t="n"/>
      <c r="K17" s="30" t="n"/>
      <c r="L17" s="30" t="n"/>
      <c r="M17" s="30" t="n"/>
    </row>
    <row r="18" ht="15" customHeight="1" s="22">
      <c r="A18" s="27" t="inlineStr">
        <is>
          <t>MYPREN (MY PRENATAL)</t>
        </is>
      </c>
      <c r="B18" s="28" t="n">
        <v>2</v>
      </c>
      <c r="C18" s="28" t="n">
        <v>3</v>
      </c>
      <c r="D18" s="28" t="n">
        <v>5</v>
      </c>
      <c r="E18" s="29" t="n">
        <v>1</v>
      </c>
      <c r="F18" s="30" t="n"/>
      <c r="G18" s="30" t="n"/>
      <c r="H18" s="30" t="n"/>
      <c r="I18" s="30" t="n"/>
      <c r="J18" s="30" t="n"/>
      <c r="K18" s="30" t="n"/>
      <c r="L18" s="30" t="n"/>
      <c r="M18" s="30" t="n"/>
    </row>
    <row r="19" ht="15" customHeight="1" s="22">
      <c r="A19" s="27" t="inlineStr">
        <is>
          <t>TOTAL SERV 26</t>
        </is>
      </c>
      <c r="B19" s="35">
        <f>B15+B16+B17+B18</f>
        <v/>
      </c>
      <c r="C19" s="35">
        <f>C15+C16+C17+C18</f>
        <v/>
      </c>
      <c r="D19" s="35">
        <f>D15+D16+D17+D18</f>
        <v/>
      </c>
      <c r="E19" s="36">
        <f>E15+E16+E17+E18</f>
        <v/>
      </c>
      <c r="F19" s="35">
        <f>F15+F16+F17+F18</f>
        <v/>
      </c>
      <c r="G19" s="35">
        <f>G15+G16+G17+G18</f>
        <v/>
      </c>
      <c r="H19" s="35">
        <f>H15+H16+H17+H18</f>
        <v/>
      </c>
      <c r="I19" s="35">
        <f>I15+I16+I17+I18</f>
        <v/>
      </c>
      <c r="J19" s="35">
        <f>J15+J16+J17+J18</f>
        <v/>
      </c>
      <c r="K19" s="35">
        <f>K15+K16+K17+K18</f>
        <v/>
      </c>
      <c r="L19" s="35">
        <f>L15+L16+L17+L18</f>
        <v/>
      </c>
      <c r="M19" s="35">
        <f>M15+M16+M17+M18</f>
        <v/>
      </c>
    </row>
    <row r="20"/>
    <row r="21" ht="15" customHeight="1" s="22">
      <c r="A21" s="37" t="inlineStr">
        <is>
          <t>VENTAS POR SERVICIO 2025</t>
        </is>
      </c>
    </row>
    <row r="22" ht="15" customHeight="1" s="22">
      <c r="A22" s="27" t="inlineStr">
        <is>
          <t>UCU 2025</t>
        </is>
      </c>
      <c r="B22" s="28" t="n">
        <v>54</v>
      </c>
      <c r="C22" s="28" t="n">
        <v>30</v>
      </c>
      <c r="D22" s="28" t="n">
        <v>55</v>
      </c>
      <c r="E22" s="29" t="n">
        <v>68</v>
      </c>
      <c r="F22" s="30" t="n"/>
      <c r="G22" s="30" t="n"/>
      <c r="H22" s="30" t="n"/>
      <c r="I22" s="30" t="n"/>
      <c r="J22" s="30" t="n"/>
      <c r="K22" s="30" t="n"/>
      <c r="L22" s="30" t="n"/>
      <c r="M22" s="30" t="n"/>
    </row>
    <row r="23" ht="15" customHeight="1" s="22">
      <c r="A23" s="27" t="inlineStr">
        <is>
          <t>ADN 2025</t>
        </is>
      </c>
      <c r="B23" s="28" t="n">
        <v>37</v>
      </c>
      <c r="C23" s="28" t="n">
        <v>34</v>
      </c>
      <c r="D23" s="28" t="n">
        <v>12</v>
      </c>
      <c r="E23" s="29" t="n">
        <v>8</v>
      </c>
      <c r="F23" s="30" t="n"/>
      <c r="G23" s="30" t="n"/>
      <c r="H23" s="30" t="n"/>
      <c r="I23" s="30" t="n"/>
      <c r="J23" s="30" t="n"/>
      <c r="K23" s="30" t="n"/>
      <c r="L23" s="30" t="n"/>
      <c r="M23" s="30" t="n"/>
    </row>
    <row r="24" ht="15" customHeight="1" s="22">
      <c r="A24" s="27" t="inlineStr">
        <is>
          <t>TAMIZ 2025</t>
        </is>
      </c>
      <c r="B24" s="28" t="n">
        <v>23</v>
      </c>
      <c r="C24" s="28" t="n">
        <v>10</v>
      </c>
      <c r="D24" s="28" t="n">
        <v>12</v>
      </c>
      <c r="E24" s="29" t="n">
        <v>20</v>
      </c>
      <c r="F24" s="30" t="n"/>
      <c r="G24" s="30" t="n"/>
      <c r="H24" s="30" t="n"/>
      <c r="I24" s="30" t="n"/>
      <c r="J24" s="30" t="n"/>
      <c r="K24" s="30" t="n"/>
      <c r="L24" s="30" t="n"/>
      <c r="M24" s="30" t="n"/>
    </row>
    <row r="25" ht="15" customHeight="1" s="22">
      <c r="A25" s="27" t="inlineStr">
        <is>
          <t>MYPREN 2025</t>
        </is>
      </c>
      <c r="B25" s="28" t="n">
        <v>0</v>
      </c>
      <c r="C25" s="28" t="n">
        <v>0</v>
      </c>
      <c r="D25" s="28" t="n">
        <v>0</v>
      </c>
      <c r="E25" s="29" t="n">
        <v>0</v>
      </c>
      <c r="F25" s="30" t="n"/>
      <c r="G25" s="30" t="n"/>
      <c r="H25" s="30" t="n"/>
      <c r="I25" s="30" t="n"/>
      <c r="J25" s="30" t="n"/>
      <c r="K25" s="30" t="n"/>
      <c r="L25" s="30" t="n"/>
      <c r="M25" s="30" t="n"/>
    </row>
    <row r="26" ht="15" customHeight="1" s="22">
      <c r="A26" s="27" t="inlineStr">
        <is>
          <t>TOTAL SERV 25</t>
        </is>
      </c>
      <c r="B26" s="35">
        <f>B22+B23+B24+B25</f>
        <v/>
      </c>
      <c r="C26" s="35">
        <f>C22+C23+C24+C25</f>
        <v/>
      </c>
      <c r="D26" s="35">
        <f>D22+D23+D24+D25</f>
        <v/>
      </c>
      <c r="E26" s="35">
        <f>E22+E23+E24+E25</f>
        <v/>
      </c>
      <c r="F26" s="35">
        <f>F22+F23+F24+F25</f>
        <v/>
      </c>
      <c r="G26" s="35">
        <f>G22+G23+G24+G25</f>
        <v/>
      </c>
      <c r="H26" s="35">
        <f>H22+H23+H24+H25</f>
        <v/>
      </c>
      <c r="I26" s="35">
        <f>I22+I23+I24+I25</f>
        <v/>
      </c>
      <c r="J26" s="35">
        <f>J22+J23+J24+J25</f>
        <v/>
      </c>
      <c r="K26" s="35">
        <f>K22+K23+K24+K25</f>
        <v/>
      </c>
      <c r="L26" s="35">
        <f>L22+L23+L24+L25</f>
        <v/>
      </c>
      <c r="M26" s="35">
        <f>M22+M23+M24+M25</f>
        <v/>
      </c>
    </row>
    <row r="27"/>
    <row r="28" ht="15" customHeight="1" s="22">
      <c r="A28" s="26" t="inlineStr">
        <is>
          <t>KPIs</t>
        </is>
      </c>
    </row>
    <row r="29" ht="15" customHeight="1" s="22">
      <c r="A29" s="27" t="inlineStr">
        <is>
          <t>% TC 26 (Tasa de Cierre)</t>
        </is>
      </c>
      <c r="B29" s="33">
        <f>IFERROR(B19/B9,"")</f>
        <v/>
      </c>
      <c r="C29" s="33">
        <f>IFERROR(C19/C9,"")</f>
        <v/>
      </c>
      <c r="D29" s="33">
        <f>IFERROR(D19/D9,"")</f>
        <v/>
      </c>
      <c r="E29" s="34">
        <f>IFERROR(E19/E9,"")</f>
        <v/>
      </c>
      <c r="F29" s="33">
        <f>IFERROR(F19/F9,"")</f>
        <v/>
      </c>
      <c r="G29" s="33">
        <f>IFERROR(G19/G9,"")</f>
        <v/>
      </c>
      <c r="H29" s="33">
        <f>IFERROR(H19/H9,"")</f>
        <v/>
      </c>
      <c r="I29" s="33">
        <f>IFERROR(I19/I9,"")</f>
        <v/>
      </c>
      <c r="J29" s="33">
        <f>IFERROR(J19/J9,"")</f>
        <v/>
      </c>
      <c r="K29" s="33">
        <f>IFERROR(K19/K9,"")</f>
        <v/>
      </c>
      <c r="L29" s="33">
        <f>IFERROR(L19/L9,"")</f>
        <v/>
      </c>
      <c r="M29" s="33">
        <f>IFERROR(M19/M9,"")</f>
        <v/>
      </c>
    </row>
    <row r="30" ht="15" customHeight="1" s="22">
      <c r="A30" s="27" t="inlineStr">
        <is>
          <t>CAC (S/ por prospecto válido)</t>
        </is>
      </c>
      <c r="B30" s="31">
        <f>IFERROR(B6/B9,"")</f>
        <v/>
      </c>
      <c r="C30" s="31">
        <f>IFERROR(C6/C9,"")</f>
        <v/>
      </c>
      <c r="D30" s="31">
        <f>IFERROR(D6/D9,"")</f>
        <v/>
      </c>
      <c r="E30" s="32">
        <f>IFERROR(E6/E9,"")</f>
        <v/>
      </c>
      <c r="F30" s="31">
        <f>IFERROR(F6/F9,"")</f>
        <v/>
      </c>
      <c r="G30" s="31">
        <f>IFERROR(G6/G9,"")</f>
        <v/>
      </c>
      <c r="H30" s="31">
        <f>IFERROR(H6/H9,"")</f>
        <v/>
      </c>
      <c r="I30" s="31">
        <f>IFERROR(I6/I9,"")</f>
        <v/>
      </c>
      <c r="J30" s="31">
        <f>IFERROR(J6/J9,"")</f>
        <v/>
      </c>
      <c r="K30" s="31">
        <f>IFERROR(K6/K9,"")</f>
        <v/>
      </c>
      <c r="L30" s="31">
        <f>IFERROR(L6/L9,"")</f>
        <v/>
      </c>
      <c r="M30" s="31">
        <f>IFERROR(M6/M9,"")</f>
        <v/>
      </c>
    </row>
    <row r="31" ht="15" customHeight="1" s="22">
      <c r="A31" s="27" t="inlineStr">
        <is>
          <t>S/ por Servicio (Monto/Serv)</t>
        </is>
      </c>
      <c r="B31" s="31">
        <f>IFERROR(B6/B19,"")</f>
        <v/>
      </c>
      <c r="C31" s="31">
        <f>IFERROR(C6/C19,"")</f>
        <v/>
      </c>
      <c r="D31" s="31">
        <f>IFERROR(D6/D19,"")</f>
        <v/>
      </c>
      <c r="E31" s="32">
        <f>IFERROR(E6/E19,"")</f>
        <v/>
      </c>
      <c r="F31" s="31">
        <f>IFERROR(F6/F19,"")</f>
        <v/>
      </c>
      <c r="G31" s="31">
        <f>IFERROR(G6/G19,"")</f>
        <v/>
      </c>
      <c r="H31" s="31">
        <f>IFERROR(H6/H19,"")</f>
        <v/>
      </c>
      <c r="I31" s="31">
        <f>IFERROR(I6/I19,"")</f>
        <v/>
      </c>
      <c r="J31" s="31">
        <f>IFERROR(J6/J19,"")</f>
        <v/>
      </c>
      <c r="K31" s="31">
        <f>IFERROR(K6/K19,"")</f>
        <v/>
      </c>
      <c r="L31" s="31">
        <f>IFERROR(L6/L19,"")</f>
        <v/>
      </c>
      <c r="M31" s="31">
        <f>IFERROR(M6/M19,"")</f>
        <v/>
      </c>
    </row>
    <row r="32" ht="15" customHeight="1" s="22">
      <c r="A32" s="27" t="inlineStr">
        <is>
          <t>VENTA (S/ ingresos)</t>
        </is>
      </c>
      <c r="B32" s="31" t="n">
        <v>213559.32</v>
      </c>
      <c r="C32" s="31" t="n">
        <v>213559.32</v>
      </c>
      <c r="D32" s="31" t="n">
        <v>213559.32</v>
      </c>
      <c r="E32" s="32" t="n">
        <v>244067.8</v>
      </c>
      <c r="F32" s="30" t="n"/>
      <c r="G32" s="30" t="n"/>
      <c r="H32" s="30" t="n"/>
      <c r="I32" s="30" t="n"/>
      <c r="J32" s="30" t="n"/>
      <c r="K32" s="30" t="n"/>
      <c r="L32" s="30" t="n"/>
      <c r="M32" s="30" t="n"/>
    </row>
    <row r="33" ht="15" customHeight="1" s="22">
      <c r="A33" s="27" t="inlineStr">
        <is>
          <t>ROI % (Retorno Inversión)</t>
        </is>
      </c>
      <c r="B33" s="33">
        <f>IFERROR((B32-B6)/B6,"")</f>
        <v/>
      </c>
      <c r="C33" s="33">
        <f>IFERROR((C32-C6)/C6,"")</f>
        <v/>
      </c>
      <c r="D33" s="33">
        <f>IFERROR((D32-D6)/D6,"")</f>
        <v/>
      </c>
      <c r="E33" s="34">
        <f>IFERROR((E32-E6)/E6,"")</f>
        <v/>
      </c>
      <c r="F33" s="33">
        <f>IFERROR((F32-F6)/F6,"")</f>
        <v/>
      </c>
      <c r="G33" s="33">
        <f>IFERROR((G32-G6)/G6,"")</f>
        <v/>
      </c>
      <c r="H33" s="33">
        <f>IFERROR((H32-H6)/H6,"")</f>
        <v/>
      </c>
      <c r="I33" s="33">
        <f>IFERROR((I32-I6)/I6,"")</f>
        <v/>
      </c>
      <c r="J33" s="33">
        <f>IFERROR((J32-J6)/J6,"")</f>
        <v/>
      </c>
      <c r="K33" s="33">
        <f>IFERROR((K32-K6)/K6,"")</f>
        <v/>
      </c>
      <c r="L33" s="33">
        <f>IFERROR((L32-L6)/L6,"")</f>
        <v/>
      </c>
      <c r="M33" s="33">
        <f>IFERROR((M32-M6)/M6,"")</f>
        <v/>
      </c>
    </row>
    <row r="34">
      <c r="A34" s="38" t="inlineStr">
        <is>
          <t>ROAS (Venta/Inversión)</t>
        </is>
      </c>
      <c r="B34" s="39">
        <f>IFERROR(B32/B6,"")</f>
        <v/>
      </c>
      <c r="C34" s="39">
        <f>IFERROR(C32/C6,"")</f>
        <v/>
      </c>
      <c r="D34" s="39">
        <f>IFERROR(D32/D6,"")</f>
        <v/>
      </c>
      <c r="E34" s="40">
        <f>IFERROR(E32/E6,"")</f>
        <v/>
      </c>
      <c r="F34" s="39">
        <f>IFERROR(F32/F6,"")</f>
        <v/>
      </c>
      <c r="G34" s="39">
        <f>IFERROR(G32/G6,"")</f>
        <v/>
      </c>
      <c r="H34" s="39">
        <f>IFERROR(H32/H6,"")</f>
        <v/>
      </c>
      <c r="I34" s="39">
        <f>IFERROR(I32/I6,"")</f>
        <v/>
      </c>
      <c r="J34" s="39">
        <f>IFERROR(J32/J6,"")</f>
        <v/>
      </c>
      <c r="K34" s="39">
        <f>IFERROR(K32/K6,"")</f>
        <v/>
      </c>
      <c r="L34" s="39">
        <f>IFERROR(L32/L6,"")</f>
        <v/>
      </c>
      <c r="M34" s="39">
        <f>IFERROR(M32/M6,"")</f>
        <v/>
      </c>
    </row>
    <row r="35" ht="15" customHeight="1" s="22"/>
    <row r="36" ht="15" customHeight="1" s="22">
      <c r="A36" s="41" t="inlineStr">
        <is>
          <t>LEADS Y CONVERSIÓN</t>
        </is>
      </c>
    </row>
    <row r="37" ht="15" customHeight="1" s="22">
      <c r="A37" s="27" t="inlineStr">
        <is>
          <t>LEADS G.</t>
        </is>
      </c>
      <c r="B37" s="30" t="n"/>
      <c r="C37" s="30" t="n"/>
      <c r="D37" s="30" t="n"/>
      <c r="E37" s="42" t="n">
        <v>5475</v>
      </c>
      <c r="F37" s="30" t="n"/>
      <c r="G37" s="30" t="n"/>
      <c r="H37" s="30" t="n"/>
      <c r="I37" s="30" t="n"/>
      <c r="J37" s="30" t="n"/>
      <c r="K37" s="30" t="n"/>
      <c r="L37" s="30" t="n"/>
      <c r="M37" s="30" t="n"/>
    </row>
    <row r="38" ht="15" customHeight="1" s="22">
      <c r="A38" s="27" t="inlineStr">
        <is>
          <t>LEAD A PROSPECTO</t>
        </is>
      </c>
      <c r="B38" s="33">
        <f>IFERROR(B9/B36,"")</f>
        <v/>
      </c>
      <c r="C38" s="33">
        <f>IFERROR(C9/C36,"")</f>
        <v/>
      </c>
      <c r="D38" s="33">
        <f>IFERROR(D9/D36,"")</f>
        <v/>
      </c>
      <c r="E38" s="34">
        <f>IFERROR(E9/E36,"")</f>
        <v/>
      </c>
      <c r="F38" s="33">
        <f>IFERROR(F9/F36,"")</f>
        <v/>
      </c>
      <c r="G38" s="33">
        <f>IFERROR(G9/G36,"")</f>
        <v/>
      </c>
      <c r="H38" s="33">
        <f>IFERROR(H9/H36,"")</f>
        <v/>
      </c>
      <c r="I38" s="33">
        <f>IFERROR(I9/I36,"")</f>
        <v/>
      </c>
      <c r="J38" s="33">
        <f>IFERROR(J9/J36,"")</f>
        <v/>
      </c>
      <c r="K38" s="33">
        <f>IFERROR(K9/K36,"")</f>
        <v/>
      </c>
      <c r="L38" s="33">
        <f>IFERROR(L9/L36,"")</f>
        <v/>
      </c>
      <c r="M38" s="33">
        <f>IFERROR(M9/M36,"")</f>
        <v/>
      </c>
    </row>
    <row r="39">
      <c r="A39" s="27" t="inlineStr">
        <is>
          <t>CONVERSION PROSP-CLIENTE</t>
        </is>
      </c>
      <c r="B39" s="33">
        <f>IFERROR(B19/B9,"")</f>
        <v/>
      </c>
      <c r="C39" s="33">
        <f>IFERROR(C19/C9,"")</f>
        <v/>
      </c>
      <c r="D39" s="33">
        <f>IFERROR(D19/D9,"")</f>
        <v/>
      </c>
      <c r="E39" s="34">
        <f>IFERROR(E19/E9,"")</f>
        <v/>
      </c>
      <c r="F39" s="33">
        <f>IFERROR(F19/F9,"")</f>
        <v/>
      </c>
      <c r="G39" s="33">
        <f>IFERROR(G19/G9,"")</f>
        <v/>
      </c>
      <c r="H39" s="33">
        <f>IFERROR(H19/H9,"")</f>
        <v/>
      </c>
      <c r="I39" s="33">
        <f>IFERROR(I19/I9,"")</f>
        <v/>
      </c>
      <c r="J39" s="33">
        <f>IFERROR(J19/J9,"")</f>
        <v/>
      </c>
      <c r="K39" s="33">
        <f>IFERROR(K19/K9,"")</f>
        <v/>
      </c>
      <c r="L39" s="33">
        <f>IFERROR(L19/L9,"")</f>
        <v/>
      </c>
      <c r="M39" s="33">
        <f>IFERROR(M19/M9,"")</f>
        <v/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5" customWidth="1" style="22" min="1" max="1"/>
  </cols>
  <sheetData>
    <row r="1">
      <c r="A1" s="43" t="inlineStr">
        <is>
          <t>HOJA TOTAL — Notas v6 (ABRIL 2026) — con ROI vs ROAS</t>
        </is>
      </c>
    </row>
    <row r="2">
      <c r="A2" s="44" t="inlineStr"/>
    </row>
    <row r="3">
      <c r="A3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">
      <c r="A4" s="43" t="inlineStr">
        <is>
          <t xml:space="preserve">  ROI vs ROAS — Dos métricas distintas</t>
        </is>
      </c>
    </row>
    <row r="5">
      <c r="A5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6">
      <c r="A6" s="44" t="inlineStr"/>
    </row>
    <row r="7">
      <c r="A7" s="43" t="inlineStr">
        <is>
          <t>ROAS (Return on Ad Spend) = Venta total / Inversión</t>
        </is>
      </c>
    </row>
    <row r="8">
      <c r="A8" s="44" t="inlineStr">
        <is>
          <t>• Mide ingresos brutos generados por cada sol invertido</t>
        </is>
      </c>
    </row>
    <row r="9">
      <c r="A9" s="44" t="inlineStr">
        <is>
          <t>• ABRIL: S/ 132,824.76 / S/ 19,968.47 = 6.65x</t>
        </is>
      </c>
    </row>
    <row r="10">
      <c r="A10" s="44" t="inlineStr">
        <is>
          <t>• Lectura: "Cada S/ 1 invertido GENERA S/ 6.65 en ingresos brutos"</t>
        </is>
      </c>
    </row>
    <row r="11">
      <c r="A11" s="44" t="inlineStr"/>
    </row>
    <row r="12">
      <c r="A12" s="43" t="inlineStr">
        <is>
          <t>ROI (Return on Investment) = (Venta − Inversión) / Inversión</t>
        </is>
      </c>
    </row>
    <row r="13">
      <c r="A13" s="44" t="inlineStr">
        <is>
          <t>• Mide ganancia neta sobre la inversión</t>
        </is>
      </c>
    </row>
    <row r="14">
      <c r="A14" s="44" t="inlineStr">
        <is>
          <t>• ABRIL: (S/ 132,824.76 − S/ 19,968.47) / S/ 19,968.47 = 5.65 = +565%</t>
        </is>
      </c>
    </row>
    <row r="15">
      <c r="A15" s="44" t="inlineStr">
        <is>
          <t>• Lectura: "Cada S/ 1 invertido DEVUELVE S/ 5.65 netos" (ganancia)</t>
        </is>
      </c>
    </row>
    <row r="16">
      <c r="A16" s="44" t="inlineStr"/>
    </row>
    <row r="17">
      <c r="A17" s="43" t="inlineStr">
        <is>
          <t>Relación matemática:</t>
        </is>
      </c>
    </row>
    <row r="18">
      <c r="A18" s="44" t="inlineStr">
        <is>
          <t xml:space="preserve">  ROAS = ROI + 1  →  5.65 + 1 = 6.65 ✓</t>
        </is>
      </c>
    </row>
    <row r="19">
      <c r="A19" s="44" t="inlineStr"/>
    </row>
    <row r="20">
      <c r="A20" s="43" t="inlineStr">
        <is>
          <t>Desglose por cada S/ 1 invertido en ABRIL:</t>
        </is>
      </c>
    </row>
    <row r="21">
      <c r="A21" s="44" t="inlineStr">
        <is>
          <t xml:space="preserve">  ┌────────────────────────────────────────────┐</t>
        </is>
      </c>
    </row>
    <row r="22">
      <c r="A22" s="44" t="inlineStr">
        <is>
          <t xml:space="preserve">  │ S/ 1.00  ←  Inversión inicial (recuperada) │</t>
        </is>
      </c>
    </row>
    <row r="23">
      <c r="A23" s="44" t="inlineStr">
        <is>
          <t xml:space="preserve">  │ + S/ 5.65 ←  Ganancia neta (ROI)           │</t>
        </is>
      </c>
    </row>
    <row r="24">
      <c r="A24" s="44" t="inlineStr">
        <is>
          <t xml:space="preserve">  │ = S/ 6.65 ←  Ingreso total bruto (ROAS)    │</t>
        </is>
      </c>
    </row>
    <row r="25">
      <c r="A25" s="44" t="inlineStr">
        <is>
          <t xml:space="preserve">  └────────────────────────────────────────────┘</t>
        </is>
      </c>
    </row>
    <row r="26">
      <c r="A26" s="44" t="inlineStr"/>
    </row>
    <row r="27">
      <c r="A27" s="43" t="inlineStr">
        <is>
          <t>¿Cuándo usar cada uno?</t>
        </is>
      </c>
    </row>
    <row r="28">
      <c r="A28" s="44" t="inlineStr">
        <is>
          <t>• ROAS — para comunicar performance de canales/campañas (común en MKT digital)</t>
        </is>
      </c>
    </row>
    <row r="29">
      <c r="A29" s="44" t="inlineStr">
        <is>
          <t>• ROI — para análisis financiero, evaluar rentabilidad real</t>
        </is>
      </c>
    </row>
    <row r="30">
      <c r="A30" s="44" t="inlineStr">
        <is>
          <t>• En reportes ejecutivos, mostrar AMBOS evita confusión</t>
        </is>
      </c>
    </row>
    <row r="31">
      <c r="A31" s="44" t="inlineStr"/>
    </row>
    <row r="32">
      <c r="A32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33">
      <c r="A33" s="43" t="inlineStr">
        <is>
          <t xml:space="preserve">  EMBUDO ABRIL 2026</t>
        </is>
      </c>
    </row>
    <row r="34">
      <c r="A34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35">
      <c r="A35" s="44" t="inlineStr">
        <is>
          <t xml:space="preserve">  LEADS GENERADOS              = 5,475</t>
        </is>
      </c>
    </row>
    <row r="36">
      <c r="A36" s="44" t="inlineStr">
        <is>
          <t xml:space="preserve">  PROSPECTOS INGRESADOS        = 3,347   (61.1% de leads)</t>
        </is>
      </c>
    </row>
    <row r="37">
      <c r="A37" s="44" t="inlineStr">
        <is>
          <t xml:space="preserve">  PROSPECTOS VÁLIDOS           = 1,417   (42.3% de ingresados)</t>
        </is>
      </c>
    </row>
    <row r="38">
      <c r="A38" s="44" t="inlineStr">
        <is>
          <t xml:space="preserve">  SERVICIOS CERRADOS           = 49      (3.5% de válidos)</t>
        </is>
      </c>
    </row>
    <row r="39">
      <c r="A39" s="44" t="inlineStr"/>
    </row>
    <row r="40">
      <c r="A40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1">
      <c r="A41" s="43" t="inlineStr">
        <is>
          <t xml:space="preserve">  MONTO 26 ABRIL — S/ 19,968.47</t>
        </is>
      </c>
    </row>
    <row r="42">
      <c r="A42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3">
      <c r="A43" s="43" t="inlineStr">
        <is>
          <t>INCLUIDO:</t>
        </is>
      </c>
    </row>
    <row r="44">
      <c r="A44" s="44" t="inlineStr">
        <is>
          <t xml:space="preserve">  Online (PPTO subtotal)             S/  9,624.25</t>
        </is>
      </c>
    </row>
    <row r="45">
      <c r="A45" s="44" t="inlineStr">
        <is>
          <t xml:space="preserve">  Offline materiales (PPTO subtot)   S/  2,730.09</t>
        </is>
      </c>
    </row>
    <row r="46">
      <c r="A46" s="44" t="inlineStr">
        <is>
          <t xml:space="preserve">  Campañas                            S/      0.00</t>
        </is>
      </c>
    </row>
    <row r="47">
      <c r="A47" s="44" t="inlineStr">
        <is>
          <t xml:space="preserve">  + Expoferia Maternidad Lima         S/  2,929.53</t>
        </is>
      </c>
    </row>
    <row r="48">
      <c r="A48" s="44" t="inlineStr">
        <is>
          <t xml:space="preserve">  + Catering Obstetras Criocord       S/  4,684.60</t>
        </is>
      </c>
    </row>
    <row r="49">
      <c r="A49" s="44" t="inlineStr">
        <is>
          <t xml:space="preserve">  ──────────────────────────────────────────────</t>
        </is>
      </c>
    </row>
    <row r="50">
      <c r="A50" s="44" t="inlineStr">
        <is>
          <t xml:space="preserve">  TOTAL                              S/ 19,968.47</t>
        </is>
      </c>
    </row>
    <row r="51">
      <c r="A51" s="44" t="inlineStr"/>
    </row>
    <row r="52">
      <c r="A52" s="43" t="inlineStr">
        <is>
          <t>EXCLUIDO:</t>
        </is>
      </c>
    </row>
    <row r="53">
      <c r="A53" s="44" t="inlineStr">
        <is>
          <t>• Viajes y provincias (Velia/Adler — Lima/Tacna/Cusco/Trujillo)</t>
        </is>
      </c>
    </row>
    <row r="54">
      <c r="A54" s="44" t="inlineStr">
        <is>
          <t>• Caja Chica MKT, Bolsas/Kits, Entrenamiento Olga Soto</t>
        </is>
      </c>
    </row>
    <row r="55">
      <c r="A55" s="44" t="inlineStr">
        <is>
          <t>• Wati COMERCIALES, Wati ANUAL Suscripción, Capcut, Calendly, N8n, Zapier</t>
        </is>
      </c>
    </row>
    <row r="56">
      <c r="A56" s="44" t="inlineStr">
        <is>
          <t>• Sala Fairfield Apr, Inicio Ciclo Catering Apr (no pedidos explícitamente)</t>
        </is>
      </c>
    </row>
    <row r="57">
      <c r="A57" s="44" t="inlineStr"/>
    </row>
    <row r="58">
      <c r="A58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59">
      <c r="A59" s="43" t="inlineStr">
        <is>
          <t xml:space="preserve">  KPIs ABRIL FINALES</t>
        </is>
      </c>
    </row>
    <row r="60">
      <c r="A60" s="44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61">
      <c r="A61" s="44" t="inlineStr">
        <is>
          <t>• % vs LY        = 1,417 / 2,209 − 1 = −35.9%</t>
        </is>
      </c>
    </row>
    <row r="62">
      <c r="A62" s="44" t="inlineStr">
        <is>
          <t>• % VALIDACIÓN   = 1,417 / 3,347 = 42.3%</t>
        </is>
      </c>
    </row>
    <row r="63">
      <c r="A63" s="44" t="inlineStr">
        <is>
          <t>• % TC 26        = 49 / 1,417 = 3.5%</t>
        </is>
      </c>
    </row>
    <row r="64">
      <c r="A64" s="44" t="inlineStr">
        <is>
          <t>• CAC            = S/ 19,968.47 / 1,417 = S/ 14.09</t>
        </is>
      </c>
    </row>
    <row r="65">
      <c r="A65" s="44" t="inlineStr">
        <is>
          <t>• LEAD A PROSP   = 1,417 / 5,475 = 25.9%</t>
        </is>
      </c>
    </row>
    <row r="66">
      <c r="A66" s="44" t="inlineStr">
        <is>
          <t>• S/ por Serv    = S/ 19,968.47 / 49 = S/ 407.52</t>
        </is>
      </c>
    </row>
    <row r="67">
      <c r="A67" s="44" t="inlineStr">
        <is>
          <t>• ROAS           = S/ 132,824.76 / S/ 19,968.47 = 6.65x</t>
        </is>
      </c>
    </row>
    <row r="68">
      <c r="A68" s="44" t="inlineStr">
        <is>
          <t>• ROI            = (S/132,824.76 − S/19,968.47) / S/19,968.47 = +565%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2026-05-15T03:24:51Z</dcterms:created>
  <dcterms:modified xmlns:dcterms="http://purl.org/dc/terms/" xmlns:xsi="http://www.w3.org/2001/XMLSchema-instance" xsi:type="dcterms:W3CDTF">2026-05-15T23:25:23Z</dcterms:modified>
  <cp:revision>0</cp:revision>
</cp:coreProperties>
</file>