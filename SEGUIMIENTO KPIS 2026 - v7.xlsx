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0" yWindow="4170" windowWidth="21600" windowHeight="11235" tabRatio="5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SEGUIMIENTO INTERNO" sheetId="2" state="visible" r:id="rId2"/>
    <sheet xmlns:r="http://schemas.openxmlformats.org/officeDocument/2006/relationships" name="SEGUIMIENTO EXTERNO" sheetId="3" state="visible" r:id="rId3"/>
    <sheet xmlns:r="http://schemas.openxmlformats.org/officeDocument/2006/relationships" name="EQUIPO COMERCIAL" sheetId="4" state="visible" r:id="rId4"/>
    <sheet xmlns:r="http://schemas.openxmlformats.org/officeDocument/2006/relationships" name="VISITA MÉDICA – ABRIL 2026" sheetId="5" state="visible" r:id="rId5"/>
    <sheet xmlns:r="http://schemas.openxmlformats.org/officeDocument/2006/relationships" name="CRONOGRAMA JUNIO 2026" sheetId="6" state="visible" r:id="rId6"/>
    <sheet xmlns:r="http://schemas.openxmlformats.org/officeDocument/2006/relationships" name="FUENTES" sheetId="7" state="visible" r:id="rId7"/>
    <sheet xmlns:r="http://schemas.openxmlformats.org/officeDocument/2006/relationships" name="NOTA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0.0%"/>
    <numFmt numFmtId="166" formatCode="0.00\x"/>
  </numFmts>
  <fonts count="26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305496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808080"/>
      <sz val="11"/>
    </font>
    <font>
      <name val="Calibri"/>
      <charset val="1"/>
      <family val="2"/>
      <b val="1"/>
      <color theme="1"/>
      <sz val="11"/>
    </font>
    <font>
      <name val="Arial"/>
      <charset val="1"/>
      <b val="1"/>
      <color rgb="FFC00000"/>
      <sz val="11"/>
    </font>
    <font>
      <name val="Arial"/>
      <charset val="1"/>
      <b val="1"/>
      <sz val="11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  <font>
      <b val="1"/>
      <color rgb="006B2D8A"/>
      <sz val="14"/>
    </font>
    <font>
      <i val="1"/>
      <color rgb="00555555"/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i val="1"/>
      <color rgb="00555555"/>
      <sz val="9"/>
    </font>
    <font>
      <color rgb="000563C1"/>
      <sz val="9"/>
      <u val="single"/>
    </font>
    <font>
      <b val="1"/>
      <color rgb="003A1750"/>
      <sz val="11"/>
    </font>
    <font>
      <i val="1"/>
      <color rgb="00888888"/>
      <sz val="9"/>
    </font>
  </fonts>
  <fills count="15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CCFFCC"/>
      </patternFill>
    </fill>
    <fill>
      <patternFill patternType="solid">
        <fgColor rgb="006B2D8A"/>
      </patternFill>
    </fill>
    <fill>
      <patternFill patternType="solid">
        <fgColor rgb="00E8B4D8"/>
      </patternFill>
    </fill>
    <fill>
      <patternFill patternType="solid">
        <fgColor rgb="009B3B7A"/>
      </patternFill>
    </fill>
    <fill>
      <patternFill patternType="solid">
        <fgColor rgb="00C9A961"/>
      </patternFill>
    </fill>
    <fill>
      <patternFill patternType="solid">
        <fgColor rgb="00F5F0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 vertical="center"/>
    </xf>
    <xf numFmtId="3" fontId="0" fillId="0" borderId="0" pivotButton="0" quotePrefix="0" xfId="0"/>
    <xf numFmtId="3" fontId="4" fillId="0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7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6" fontId="5" fillId="0" borderId="0" applyAlignment="1" pivotButton="0" quotePrefix="0" xfId="0">
      <alignment horizontal="center" vertical="center"/>
    </xf>
    <xf numFmtId="166" fontId="5" fillId="4" borderId="0" applyAlignment="1" pivotButton="0" quotePrefix="0" xfId="0">
      <alignment horizontal="center" vertical="center"/>
    </xf>
    <xf numFmtId="0" fontId="8" fillId="0" borderId="0" pivotButton="0" quotePrefix="0" xfId="0"/>
    <xf numFmtId="3" fontId="5" fillId="5" borderId="0" applyAlignment="1" pivotButton="0" quotePrefix="0" xfId="0">
      <alignment horizontal="center" vertical="center"/>
    </xf>
    <xf numFmtId="2" fontId="0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2" fontId="5" fillId="0" borderId="0" applyAlignment="1" pivotButton="0" quotePrefix="0" xfId="0">
      <alignment horizontal="center" vertical="center"/>
    </xf>
    <xf numFmtId="2" fontId="5" fillId="4" borderId="0" applyAlignment="1" pivotButton="0" quotePrefix="0" xfId="0">
      <alignment horizontal="center" vertical="center"/>
    </xf>
    <xf numFmtId="0" fontId="1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 wrapText="1"/>
    </xf>
    <xf numFmtId="0" fontId="15" fillId="10" borderId="0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 wrapText="1"/>
    </xf>
    <xf numFmtId="0" fontId="15" fillId="11" borderId="0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vertical="center"/>
    </xf>
    <xf numFmtId="0" fontId="14" fillId="9" borderId="1" applyAlignment="1" pivotButton="0" quotePrefix="0" xfId="0">
      <alignment vertical="center" wrapText="1"/>
    </xf>
    <xf numFmtId="0" fontId="14" fillId="10" borderId="1" applyAlignment="1" pivotButton="0" quotePrefix="0" xfId="0">
      <alignment vertical="center"/>
    </xf>
    <xf numFmtId="0" fontId="15" fillId="10" borderId="1" applyAlignment="1" pivotButton="0" quotePrefix="0" xfId="0">
      <alignment vertical="center"/>
    </xf>
    <xf numFmtId="0" fontId="14" fillId="11" borderId="1" applyAlignment="1" pivotButton="0" quotePrefix="0" xfId="0">
      <alignment vertical="center"/>
    </xf>
    <xf numFmtId="0" fontId="15" fillId="11" borderId="1" applyAlignment="1" pivotButton="0" quotePrefix="0" xfId="0">
      <alignment vertical="center"/>
    </xf>
    <xf numFmtId="0" fontId="13" fillId="6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vertical="center"/>
    </xf>
    <xf numFmtId="0" fontId="15" fillId="11" borderId="0" applyAlignment="1" pivotButton="0" quotePrefix="0" xfId="0">
      <alignment vertical="center"/>
    </xf>
    <xf numFmtId="0" fontId="16" fillId="1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0" borderId="0" pivotButton="0" quotePrefix="0" xfId="0"/>
    <xf numFmtId="0" fontId="20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22" fillId="0" borderId="0" pivotButton="0" quotePrefix="0" xfId="0"/>
    <xf numFmtId="0" fontId="19" fillId="6" borderId="0" pivotButton="0" quotePrefix="0" xfId="0"/>
    <xf numFmtId="0" fontId="0" fillId="7" borderId="2" applyAlignment="1" pivotButton="0" quotePrefix="0" xfId="0">
      <alignment vertical="center" wrapText="1"/>
    </xf>
    <xf numFmtId="0" fontId="21" fillId="0" borderId="0" pivotButton="0" quotePrefix="0" xfId="0"/>
    <xf numFmtId="0" fontId="23" fillId="0" borderId="0" pivotButton="0" quotePrefix="0" xfId="0"/>
    <xf numFmtId="0" fontId="24" fillId="7" borderId="2" applyAlignment="1" pivotButton="0" quotePrefix="0" xfId="0">
      <alignment vertical="center" wrapText="1"/>
    </xf>
    <xf numFmtId="0" fontId="0" fillId="13" borderId="2" applyAlignment="1" pivotButton="0" quotePrefix="0" xfId="0">
      <alignment vertical="center" wrapText="1"/>
    </xf>
    <xf numFmtId="0" fontId="20" fillId="6" borderId="2" applyAlignment="1" pivotButton="0" quotePrefix="0" xfId="0">
      <alignment vertical="center" wrapText="1"/>
    </xf>
    <xf numFmtId="0" fontId="25" fillId="0" borderId="0" pivotButton="0" quotePrefix="0" xfId="0"/>
    <xf numFmtId="0" fontId="0" fillId="14" borderId="2" applyAlignment="1" pivotButton="0" quotePrefix="0" xfId="0">
      <alignment vertical="center" wrapText="1"/>
    </xf>
    <xf numFmtId="0" fontId="0" fillId="0" borderId="2" pivotButton="0" quotePrefix="0" xfId="0"/>
    <xf numFmtId="0" fontId="23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ecriocord-my.sharepoint.com/personal/dwalcheff_criocord_com_pe/Documents/4.%20MARKETING/1.%20ADMINISTRATIVO%20PROMOCION/SEGUIMIENTO%20DE%20PROSPECCION/2026/SEGUIMIENTO%20PROSPECCION%202026.xlsx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pecriocord-my.sharepoint.com/personal/dwalcheff_criocord_com_pe/Documents/4.%20MARKETING/1.%20ADMINISTRATIVO%20PROMOCION/SEGUIMIENTO%20DE%20PROSPECCION/2026/SEGUIMIENTO%20PROSPECCION%202026.xlsx" TargetMode="External" Id="rId1"/><Relationship Type="http://schemas.openxmlformats.org/officeDocument/2006/relationships/hyperlink" Target="https://pecriocord-my.sharepoint.com/personal/dwalcheff_criocord_com_pe/Documents/4.%20MARKETING/1.%20ADMINISTRATIVO%20PROMOCION/RESULTADOS%20COM-MKT/DECKS%20DE%20MARKETING/SEGUIMIENTO%20KPIS%202025.xlsx" TargetMode="External" Id="rId2"/><Relationship Type="http://schemas.openxmlformats.org/officeDocument/2006/relationships/hyperlink" Target="https://pecriocord-my.sharepoint.com/personal/murteaga_criocord_com_pe/Documents/Documentos/Marketing/Presupuestos/2026/PPTO%20CONSOLIDADO%20MKT%20DW.xlsx" TargetMode="External" Id="rId3"/><Relationship Type="http://schemas.openxmlformats.org/officeDocument/2006/relationships/hyperlink" Target="https://pecriocord-my.sharepoint.com/personal/dwalcheff_criocord_com_pe/Documents/4.%20MARKETING/1.%20ADMINISTRATIVO%20PROMOCION/SEGUIMIENTO%20DE%20PROSPECCION/2026/SEGUIMIENTO%20PROSPECCION%202026.xlsx" TargetMode="External" Id="rId4"/><Relationship Type="http://schemas.openxmlformats.org/officeDocument/2006/relationships/hyperlink" Target="https://pecriocord-my.sharepoint.com/personal/dwalcheff_criocord_com_pe/Documents/4.%20MARKETING/1.%20ADMINISTRATIVO%20PROMOCION/COMPRAS%20Y%20PRESUPUESTO/2026/MKT%20-%20GASTOS%20TC%202026.xlsx" TargetMode="External" Id="rId5"/><Relationship Type="http://schemas.openxmlformats.org/officeDocument/2006/relationships/hyperlink" Target="https://pecriocord-my.sharepoint.com/personal/ccarrasco_criocord_com_pe/Documents/MATRIZ%20DE%20CONTENIDOS%20AGOSTO%20-%20CRIOCORD.xlsx" TargetMode="External" Id="rId6"/><Relationship Type="http://schemas.openxmlformats.org/officeDocument/2006/relationships/hyperlink" Target="https://pecriocord-my.sharepoint.com/personal/dwalcheff_criocord_com_pe/Documents/4.%20MARKETING/RECURSOS%20DE%20ANALISIS/Funnel%20Per%C3%BA.xlsx" TargetMode="External" Id="rId7"/><Relationship Type="http://schemas.openxmlformats.org/officeDocument/2006/relationships/hyperlink" Target="https://pecriocord-my.sharepoint.com/personal/dwalcheff_criocord_com_pe/Documents/2.%20VISITA%20M%C3%89DICA/VISITA%20MEDICA%202026/CRIOCORD" TargetMode="External" Id="rId8"/><Relationship Type="http://schemas.openxmlformats.org/officeDocument/2006/relationships/hyperlink" Target="https://pecriocord-my.sharepoint.com/personal/dwalcheff_criocord_com_pe/Documents/2.%20VISITA%20M%C3%89DICA/VISITA%20MEDICA%202025/LAZO%20DE%20VIDA/VISITADOR%20LIMA%20-%20LDV/REPORTE%20MENSUAL%20DE%20VISITA%20M%C3%89DICA" TargetMode="External" Id="rId9"/><Relationship Type="http://schemas.openxmlformats.org/officeDocument/2006/relationships/hyperlink" Target="https://pecriocord-my.sharepoint.com/personal/dwalcheff_criocord_com_pe/Documents/2.%20VISITA%20M%C3%89DICA/VISITA%20MEDICA%202026/MKT%20-%20DATA/SEGUIMIENTO%20KIT%20CLINICAS.xlsx" TargetMode="External" Id="rId10"/><Relationship Type="http://schemas.openxmlformats.org/officeDocument/2006/relationships/hyperlink" Target="https://pecriocord-my.sharepoint.com/personal/dwalcheff_criocord_com_pe/Documents/Daniel%20Walcheff%20-%20Personal/2025/SEGUIMIENTOS%20PERSONALES/CRONOGRAMA%202026%20FINAL.xlsx" TargetMode="External" Id="rId11"/><Relationship Type="http://schemas.openxmlformats.org/officeDocument/2006/relationships/hyperlink" Target="https://pecriocord-my.sharepoint.com/personal/dwalcheff_criocord_com_pe/Documents/4.%20MARKETING/1.%20ADMINISTRATIVO%20PROMOCION/SEGUIMIENTO%20DE%20PROSPECCION/2026/SEGUIMIENTO%20PROSPECCION%202026.xlsx" TargetMode="External" Id="rId12"/><Relationship Type="http://schemas.openxmlformats.org/officeDocument/2006/relationships/hyperlink" Target="https://pecriocord-my.sharepoint.com/personal/dwalcheff_criocord_com_pe/Documents/4.%20MARKETING/1.%20ADMINISTRATIVO%20PROMOCION/RESULTADOS%20COM-MKT/CALCULOS/CALCULO%20DE%20ROI.xlsx" TargetMode="External" Id="rId13"/><Relationship Type="http://schemas.openxmlformats.org/officeDocument/2006/relationships/hyperlink" Target="https://pecriocord-my.sharepoint.com/personal/dwalcheff_criocord_com_pe/Documents/4.%20MARKETING/8.%20BRANDING/CRYOHOLDCO/PRESENTACIONES/2026/PERU%20RESULTADOS%20MARZO%202026.pptx" TargetMode="External" Id="rId14"/><Relationship Type="http://schemas.openxmlformats.org/officeDocument/2006/relationships/hyperlink" Target="https://pecriocord-my.sharepoint.com/personal/dwalcheff_criocord_com_pe/Documents/4.%20MARKETING/BRIEFS%20DE%20MARCA%20-%20PER%C3%9A/CRIOCORD%20BRIEF.docx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16" zoomScaleNormal="100" workbookViewId="0">
      <selection activeCell="H37" sqref="H37"/>
    </sheetView>
  </sheetViews>
  <sheetFormatPr baseColWidth="10" defaultColWidth="8.7109375" defaultRowHeight="15"/>
  <cols>
    <col width="35" customWidth="1" min="1" max="1"/>
    <col width="13" customWidth="1" min="2" max="14"/>
  </cols>
  <sheetData>
    <row r="1" ht="15" customHeight="1">
      <c r="A1" s="35" t="inlineStr">
        <is>
          <t>HOJA TOTAL - SEGUIMIENTO KPIS 2026 (v7 — Mayo parcial corte 18/05)</t>
        </is>
      </c>
    </row>
    <row r="3" ht="15" customHeight="1">
      <c r="A3" s="1" t="inlineStr">
        <is>
          <t>MÉTRICA</t>
        </is>
      </c>
      <c r="B3" s="1" t="inlineStr">
        <is>
          <t>ENERO</t>
        </is>
      </c>
      <c r="C3" s="1" t="inlineStr">
        <is>
          <t>FEBRERO</t>
        </is>
      </c>
      <c r="D3" s="1" t="inlineStr">
        <is>
          <t>MARZO</t>
        </is>
      </c>
      <c r="E3" s="2" t="inlineStr">
        <is>
          <t>ABRIL</t>
        </is>
      </c>
      <c r="F3" s="1" t="inlineStr">
        <is>
          <t>MAYO</t>
        </is>
      </c>
      <c r="G3" s="1" t="inlineStr">
        <is>
          <t>JUNIO</t>
        </is>
      </c>
      <c r="H3" s="1" t="inlineStr">
        <is>
          <t>JULIO</t>
        </is>
      </c>
      <c r="I3" s="1" t="inlineStr">
        <is>
          <t>AGOSTO</t>
        </is>
      </c>
      <c r="J3" s="1" t="inlineStr">
        <is>
          <t>SEPTIEMBRE</t>
        </is>
      </c>
      <c r="K3" s="1" t="inlineStr">
        <is>
          <t>OCTUBRE</t>
        </is>
      </c>
      <c r="L3" s="1" t="inlineStr">
        <is>
          <t>NOVIEMBRE</t>
        </is>
      </c>
      <c r="M3" s="1" t="inlineStr">
        <is>
          <t>DICIEMBRE</t>
        </is>
      </c>
      <c r="N3" s="1" t="inlineStr">
        <is>
          <t>TOTAL</t>
        </is>
      </c>
    </row>
    <row r="4" ht="15" customHeight="1">
      <c r="A4" s="3" t="inlineStr">
        <is>
          <t>PROSPECTOS</t>
        </is>
      </c>
      <c r="N4" s="4" t="n"/>
    </row>
    <row r="5" ht="15" customHeight="1">
      <c r="A5" s="5" t="inlineStr">
        <is>
          <t>INGRESADO 2026</t>
        </is>
      </c>
      <c r="B5" s="6" t="n">
        <v>2333</v>
      </c>
      <c r="C5" s="6" t="n">
        <v>2343</v>
      </c>
      <c r="D5" s="6" t="n">
        <v>1876</v>
      </c>
      <c r="E5" s="7" t="n">
        <v>3347</v>
      </c>
      <c r="F5" s="8" t="n">
        <v>1365</v>
      </c>
      <c r="G5" s="8" t="n"/>
      <c r="H5" s="8" t="n"/>
      <c r="I5" s="8" t="n"/>
      <c r="J5" s="8" t="n"/>
      <c r="K5" s="8" t="n"/>
      <c r="L5" s="8" t="n"/>
      <c r="M5" s="8" t="n"/>
      <c r="N5" s="9">
        <f>SUM(B5:M5)</f>
        <v/>
      </c>
    </row>
    <row r="6" ht="15" customHeight="1">
      <c r="A6" s="5" t="inlineStr">
        <is>
          <t>MONTO 26 (S/)</t>
        </is>
      </c>
      <c r="B6" s="10" t="n">
        <v>12000</v>
      </c>
      <c r="C6" s="10" t="n">
        <v>12423</v>
      </c>
      <c r="D6" s="10" t="n">
        <v>18217</v>
      </c>
      <c r="E6" s="11" t="n">
        <v>19968.47</v>
      </c>
      <c r="F6" s="8" t="n"/>
      <c r="G6" s="8" t="n"/>
      <c r="H6" s="8" t="n"/>
      <c r="I6" s="8" t="n"/>
      <c r="J6" s="8" t="n"/>
      <c r="K6" s="8" t="n"/>
      <c r="L6" s="8" t="n"/>
      <c r="M6" s="8" t="n"/>
      <c r="N6" s="12">
        <f>SUM(B6:M6)</f>
        <v/>
      </c>
    </row>
    <row r="7" ht="15" customHeight="1">
      <c r="A7" s="5" t="inlineStr">
        <is>
          <t>INGRESADO 2025</t>
        </is>
      </c>
      <c r="B7" s="6" t="n">
        <v>1981</v>
      </c>
      <c r="C7" s="6" t="n">
        <v>2322</v>
      </c>
      <c r="D7" s="6" t="n">
        <v>2823</v>
      </c>
      <c r="E7" s="7" t="n">
        <v>2209</v>
      </c>
      <c r="F7" s="6" t="n">
        <v>2300</v>
      </c>
      <c r="G7" s="6" t="n">
        <v>2700</v>
      </c>
      <c r="H7" s="6" t="n">
        <v>2217</v>
      </c>
      <c r="I7" s="6" t="n">
        <v>2890</v>
      </c>
      <c r="J7" s="6" t="n">
        <v>1755</v>
      </c>
      <c r="K7" s="6" t="n">
        <v>920</v>
      </c>
      <c r="L7" s="6" t="n">
        <v>978</v>
      </c>
      <c r="M7" s="6" t="n">
        <v>1246</v>
      </c>
      <c r="N7" s="13">
        <f>SUM(B7:M7)</f>
        <v/>
      </c>
    </row>
    <row r="8" ht="15" customHeight="1">
      <c r="A8" s="5" t="inlineStr">
        <is>
          <t>MONTO 25 (S/)</t>
        </is>
      </c>
      <c r="B8" s="10" t="n">
        <v>20020.4</v>
      </c>
      <c r="C8" s="10" t="n">
        <v>22811.4</v>
      </c>
      <c r="D8" s="10" t="n">
        <v>12542</v>
      </c>
      <c r="E8" s="11" t="n">
        <v>11989</v>
      </c>
      <c r="F8" s="8" t="n"/>
      <c r="G8" s="8" t="n"/>
      <c r="H8" s="8" t="n"/>
      <c r="I8" s="8" t="n"/>
      <c r="J8" s="8" t="n"/>
      <c r="K8" s="8" t="n"/>
      <c r="L8" s="8" t="n"/>
      <c r="M8" s="8" t="n"/>
      <c r="N8" s="12">
        <f>SUM(B8:M8)</f>
        <v/>
      </c>
    </row>
    <row r="9" ht="15" customHeight="1">
      <c r="A9" s="5" t="inlineStr">
        <is>
          <t>VALIDOS 2026</t>
        </is>
      </c>
      <c r="B9" s="6" t="n">
        <v>1765</v>
      </c>
      <c r="C9" s="6" t="n">
        <v>1696</v>
      </c>
      <c r="D9" s="6" t="n">
        <v>1443</v>
      </c>
      <c r="E9" s="7" t="n">
        <v>1417</v>
      </c>
      <c r="F9" s="8" t="n"/>
      <c r="G9" s="8" t="n"/>
      <c r="H9" s="8" t="n"/>
      <c r="I9" s="8" t="n"/>
      <c r="J9" s="8" t="n"/>
      <c r="K9" s="8" t="n"/>
      <c r="L9" s="8" t="n"/>
      <c r="M9" s="8" t="n"/>
      <c r="N9" s="9">
        <f>SUM(B9:M9)</f>
        <v/>
      </c>
    </row>
    <row r="10" ht="15" customHeight="1">
      <c r="A10" s="5" t="inlineStr">
        <is>
          <t>% VALIDACIÓN 2026</t>
        </is>
      </c>
      <c r="B10" s="14">
        <f>IFERROR(B9/B5,"")</f>
        <v/>
      </c>
      <c r="C10" s="14">
        <f>IFERROR(C9/C5,"")</f>
        <v/>
      </c>
      <c r="D10" s="14">
        <f>IFERROR(D9/D5,"")</f>
        <v/>
      </c>
      <c r="E10" s="15">
        <f>IFERROR(E9/E5,"")</f>
        <v/>
      </c>
      <c r="F10" s="14">
        <f>IFERROR(F9/F5,"")</f>
        <v/>
      </c>
      <c r="G10" s="14">
        <f>IFERROR(G9/G5,"")</f>
        <v/>
      </c>
      <c r="H10" s="14">
        <f>IFERROR(H9/H5,"")</f>
        <v/>
      </c>
      <c r="I10" s="14">
        <f>IFERROR(I9/I5,"")</f>
        <v/>
      </c>
      <c r="J10" s="14">
        <f>IFERROR(J9/J5,"")</f>
        <v/>
      </c>
      <c r="K10" s="14">
        <f>IFERROR(K9/K5,"")</f>
        <v/>
      </c>
      <c r="L10" s="14">
        <f>IFERROR(L9/L5,"")</f>
        <v/>
      </c>
      <c r="M10" s="14">
        <f>IFERROR(M9/M5,"")</f>
        <v/>
      </c>
      <c r="N10" s="16">
        <f>IFERROR(AVERAGE(B10:M10),"")</f>
        <v/>
      </c>
    </row>
    <row r="11" ht="15" customHeight="1">
      <c r="A11" s="5" t="inlineStr">
        <is>
          <t>VALIDOS 2025</t>
        </is>
      </c>
      <c r="B11" s="6" t="n">
        <v>896</v>
      </c>
      <c r="C11" s="6" t="n">
        <v>1338</v>
      </c>
      <c r="D11" s="6" t="n">
        <v>2070</v>
      </c>
      <c r="E11" s="7" t="n">
        <v>2209</v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9">
        <f>SUM(B11:M11)</f>
        <v/>
      </c>
    </row>
    <row r="12" ht="15" customHeight="1">
      <c r="A12" s="5" t="inlineStr">
        <is>
          <t>% vs LY</t>
        </is>
      </c>
      <c r="B12" s="14">
        <f>IFERROR(B9/B11-1,"")</f>
        <v/>
      </c>
      <c r="C12" s="14">
        <f>IFERROR(C9/C11-1,"")</f>
        <v/>
      </c>
      <c r="D12" s="14">
        <f>IFERROR(D9/D11-1,"")</f>
        <v/>
      </c>
      <c r="E12" s="15">
        <f>IFERROR(E9/E11-1,"")</f>
        <v/>
      </c>
      <c r="F12" s="14">
        <f>IFERROR(F9/F11-1,"")</f>
        <v/>
      </c>
      <c r="G12" s="14">
        <f>IFERROR(G9/G11-1,"")</f>
        <v/>
      </c>
      <c r="H12" s="14">
        <f>IFERROR(H9/H11-1,"")</f>
        <v/>
      </c>
      <c r="I12" s="14">
        <f>IFERROR(I9/I11-1,"")</f>
        <v/>
      </c>
      <c r="J12" s="14">
        <f>IFERROR(J9/J11-1,"")</f>
        <v/>
      </c>
      <c r="K12" s="14">
        <f>IFERROR(K9/K11-1,"")</f>
        <v/>
      </c>
      <c r="L12" s="14">
        <f>IFERROR(L9/L11-1,"")</f>
        <v/>
      </c>
      <c r="M12" s="14">
        <f>IFERROR(M9/M11-1,"")</f>
        <v/>
      </c>
      <c r="N12" s="17">
        <f>IFERROR(N9/N11-1,"")</f>
        <v/>
      </c>
    </row>
    <row r="14" ht="15" customHeight="1">
      <c r="A14" s="3" t="inlineStr">
        <is>
          <t>VENTAS POR SERVICIO 2026</t>
        </is>
      </c>
    </row>
    <row r="15" ht="15" customHeight="1">
      <c r="A15" s="5" t="inlineStr">
        <is>
          <t>UCU (CORDONES)</t>
        </is>
      </c>
      <c r="B15" s="6" t="n">
        <v>80</v>
      </c>
      <c r="C15" s="6" t="n">
        <v>51</v>
      </c>
      <c r="D15" s="6" t="n">
        <v>57</v>
      </c>
      <c r="E15" s="7" t="n">
        <v>34</v>
      </c>
      <c r="F15" s="8" t="n">
        <v>43</v>
      </c>
      <c r="G15" s="8" t="n"/>
      <c r="H15" s="8" t="n"/>
      <c r="I15" s="8" t="n"/>
      <c r="J15" s="8" t="n"/>
      <c r="K15" s="8" t="n"/>
      <c r="L15" s="8" t="n"/>
      <c r="M15" s="8" t="n"/>
      <c r="N15" s="18">
        <f>SUM(B15:M15)</f>
        <v/>
      </c>
    </row>
    <row r="16" ht="15" customHeight="1">
      <c r="A16" s="5" t="inlineStr">
        <is>
          <t>ADN</t>
        </is>
      </c>
      <c r="B16" s="6" t="n">
        <v>27</v>
      </c>
      <c r="C16" s="6" t="n">
        <v>9</v>
      </c>
      <c r="D16" s="6" t="n">
        <v>20</v>
      </c>
      <c r="E16" s="7" t="n">
        <v>5</v>
      </c>
      <c r="F16" s="8" t="n">
        <v>16</v>
      </c>
      <c r="G16" s="8" t="n"/>
      <c r="H16" s="8" t="n"/>
      <c r="I16" s="8" t="n"/>
      <c r="J16" s="8" t="n"/>
      <c r="K16" s="8" t="n"/>
      <c r="L16" s="8" t="n"/>
      <c r="M16" s="8" t="n"/>
      <c r="N16" s="18">
        <f>SUM(B16:M16)</f>
        <v/>
      </c>
    </row>
    <row r="17" ht="15" customHeight="1">
      <c r="A17" s="5" t="inlineStr">
        <is>
          <t>TAMIZ (TAMIZAJE)</t>
        </is>
      </c>
      <c r="B17" s="6" t="n">
        <v>30</v>
      </c>
      <c r="C17" s="6" t="n">
        <v>18</v>
      </c>
      <c r="D17" s="6" t="n">
        <v>18</v>
      </c>
      <c r="E17" s="7" t="n">
        <v>6</v>
      </c>
      <c r="F17" s="8" t="n">
        <v>23</v>
      </c>
      <c r="G17" s="8" t="n"/>
      <c r="H17" s="8" t="n"/>
      <c r="I17" s="8" t="n"/>
      <c r="J17" s="8" t="n"/>
      <c r="K17" s="8" t="n"/>
      <c r="L17" s="8" t="n"/>
      <c r="M17" s="8" t="n"/>
      <c r="N17" s="18">
        <f>SUM(B17:M17)</f>
        <v/>
      </c>
    </row>
    <row r="18" ht="15" customHeight="1">
      <c r="A18" s="5" t="inlineStr">
        <is>
          <t>MYPREN (MY PRENATAL)</t>
        </is>
      </c>
      <c r="B18" s="6" t="n">
        <v>2</v>
      </c>
      <c r="C18" s="6" t="n">
        <v>3</v>
      </c>
      <c r="D18" s="6" t="n">
        <v>5</v>
      </c>
      <c r="E18" s="7" t="n">
        <v>4</v>
      </c>
      <c r="F18" s="8" t="n">
        <v>8</v>
      </c>
      <c r="G18" s="8" t="n"/>
      <c r="H18" s="8" t="n"/>
      <c r="I18" s="8" t="n"/>
      <c r="J18" s="8" t="n"/>
      <c r="K18" s="8" t="n"/>
      <c r="L18" s="8" t="n"/>
      <c r="M18" s="8" t="n"/>
      <c r="N18" s="18">
        <f>SUM(B18:M18)</f>
        <v/>
      </c>
    </row>
    <row r="19" ht="15" customHeight="1">
      <c r="A19" s="5" t="inlineStr">
        <is>
          <t>TOTAL SERV 26</t>
        </is>
      </c>
      <c r="B19" s="19">
        <f>B15+B16+B17+B18</f>
        <v/>
      </c>
      <c r="C19" s="19">
        <f>C15+C16+C17+C18</f>
        <v/>
      </c>
      <c r="D19" s="19">
        <f>D15+D16+D17+D18</f>
        <v/>
      </c>
      <c r="E19" s="20">
        <f>E15+E16+E17+E18</f>
        <v/>
      </c>
      <c r="F19" s="19">
        <f>F15+F16+F17+F18</f>
        <v/>
      </c>
      <c r="G19" s="19">
        <f>G15+G16+G17+G18</f>
        <v/>
      </c>
      <c r="H19" s="19">
        <f>H15+H16+H17+H18</f>
        <v/>
      </c>
      <c r="I19" s="19">
        <f>I15+I16+I17+I18</f>
        <v/>
      </c>
      <c r="J19" s="19">
        <f>J15+J16+J17+J18</f>
        <v/>
      </c>
      <c r="K19" s="19">
        <f>K15+K16+K17+K18</f>
        <v/>
      </c>
      <c r="L19" s="19">
        <f>L15+L16+L17+L18</f>
        <v/>
      </c>
      <c r="M19" s="19">
        <f>M15+M16+M17+M18</f>
        <v/>
      </c>
      <c r="N19" s="21">
        <f>SUM(B19:M19)</f>
        <v/>
      </c>
    </row>
    <row r="21" ht="15" customHeight="1">
      <c r="A21" s="22" t="inlineStr">
        <is>
          <t>VENTAS POR SERVICIO 2025</t>
        </is>
      </c>
    </row>
    <row r="22" ht="15" customHeight="1">
      <c r="A22" s="5" t="inlineStr">
        <is>
          <t>UCU 2025</t>
        </is>
      </c>
      <c r="B22" s="6" t="n">
        <v>54</v>
      </c>
      <c r="C22" s="6" t="n">
        <v>30</v>
      </c>
      <c r="D22" s="6" t="n">
        <v>55</v>
      </c>
      <c r="E22" s="7" t="n">
        <v>68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18">
        <f>SUM(B22:M22)</f>
        <v/>
      </c>
    </row>
    <row r="23" ht="15" customHeight="1">
      <c r="A23" s="5" t="inlineStr">
        <is>
          <t>ADN 2025</t>
        </is>
      </c>
      <c r="B23" s="6" t="n">
        <v>37</v>
      </c>
      <c r="C23" s="6" t="n">
        <v>34</v>
      </c>
      <c r="D23" s="6" t="n">
        <v>12</v>
      </c>
      <c r="E23" s="7" t="n">
        <v>8</v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18">
        <f>SUM(B23:M23)</f>
        <v/>
      </c>
    </row>
    <row r="24" ht="15" customHeight="1">
      <c r="A24" s="5" t="inlineStr">
        <is>
          <t>TAMIZ 2025</t>
        </is>
      </c>
      <c r="B24" s="6" t="n">
        <v>23</v>
      </c>
      <c r="C24" s="6" t="n">
        <v>10</v>
      </c>
      <c r="D24" s="6" t="n">
        <v>12</v>
      </c>
      <c r="E24" s="7" t="n">
        <v>20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18">
        <f>SUM(B24:M24)</f>
        <v/>
      </c>
    </row>
    <row r="25" ht="15" customHeight="1">
      <c r="A25" s="5" t="inlineStr">
        <is>
          <t>MYPREN 2025</t>
        </is>
      </c>
      <c r="B25" s="6" t="n">
        <v>0</v>
      </c>
      <c r="C25" s="6" t="n">
        <v>0</v>
      </c>
      <c r="D25" s="6" t="n">
        <v>0</v>
      </c>
      <c r="E25" s="7" t="n">
        <v>0</v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18">
        <f>SUM(B25:M25)</f>
        <v/>
      </c>
    </row>
    <row r="26" ht="15" customHeight="1">
      <c r="A26" s="5" t="inlineStr">
        <is>
          <t>TOTAL SERV 25</t>
        </is>
      </c>
      <c r="B26" s="19">
        <f>B22+B23+B24+B25</f>
        <v/>
      </c>
      <c r="C26" s="19">
        <f>C22+C23+C24+C25</f>
        <v/>
      </c>
      <c r="D26" s="19">
        <f>D22+D23+D24+D25</f>
        <v/>
      </c>
      <c r="E26" s="19">
        <f>E22+E23+E24+E25</f>
        <v/>
      </c>
      <c r="F26" s="19">
        <f>F22+F23+F24+F25</f>
        <v/>
      </c>
      <c r="G26" s="19">
        <f>G22+G23+G24+G25</f>
        <v/>
      </c>
      <c r="H26" s="19">
        <f>H22+H23+H24+H25</f>
        <v/>
      </c>
      <c r="I26" s="19">
        <f>I22+I23+I24+I25</f>
        <v/>
      </c>
      <c r="J26" s="19">
        <f>J22+J23+J24+J25</f>
        <v/>
      </c>
      <c r="K26" s="19">
        <f>K22+K23+K24+K25</f>
        <v/>
      </c>
      <c r="L26" s="19">
        <f>L22+L23+L24+L25</f>
        <v/>
      </c>
      <c r="M26" s="19">
        <f>M22+M23+M24+M25</f>
        <v/>
      </c>
      <c r="N26" s="23">
        <f>SUM(B26:M26)</f>
        <v/>
      </c>
    </row>
    <row r="28" ht="15" customHeight="1">
      <c r="A28" s="3" t="inlineStr">
        <is>
          <t>KPIs</t>
        </is>
      </c>
    </row>
    <row r="29" ht="15" customHeight="1">
      <c r="A29" s="5" t="inlineStr">
        <is>
          <t>% TC 26 (Tasa de Cierre)</t>
        </is>
      </c>
      <c r="B29" s="14">
        <f>IFERROR(B19/B9,"")</f>
        <v/>
      </c>
      <c r="C29" s="14">
        <f>IFERROR(C19/C9,"")</f>
        <v/>
      </c>
      <c r="D29" s="14">
        <f>IFERROR(D19/D9,"")</f>
        <v/>
      </c>
      <c r="E29" s="15">
        <f>IFERROR(E19/E9,"")</f>
        <v/>
      </c>
      <c r="F29" s="14">
        <f>IFERROR(F19/F9,"")</f>
        <v/>
      </c>
      <c r="G29" s="14">
        <f>IFERROR(G19/G9,"")</f>
        <v/>
      </c>
      <c r="H29" s="14">
        <f>IFERROR(H19/H9,"")</f>
        <v/>
      </c>
      <c r="I29" s="14">
        <f>IFERROR(I19/I9,"")</f>
        <v/>
      </c>
      <c r="J29" s="14">
        <f>IFERROR(J19/J9,"")</f>
        <v/>
      </c>
      <c r="K29" s="14">
        <f>IFERROR(K19/K9,"")</f>
        <v/>
      </c>
      <c r="L29" s="14">
        <f>IFERROR(L19/L9,"")</f>
        <v/>
      </c>
      <c r="M29" s="14">
        <f>IFERROR(M19/M9,"")</f>
        <v/>
      </c>
      <c r="N29" s="24">
        <f>IFERROR(AVERAGE(B29:M29),"")</f>
        <v/>
      </c>
    </row>
    <row r="30" ht="15" customHeight="1">
      <c r="A30" s="5" t="inlineStr">
        <is>
          <t>CAC (S/ por prospecto válido)</t>
        </is>
      </c>
      <c r="B30" s="10">
        <f>IFERROR(B6/B9,"")</f>
        <v/>
      </c>
      <c r="C30" s="10">
        <f>IFERROR(C6/C9,"")</f>
        <v/>
      </c>
      <c r="D30" s="10">
        <f>IFERROR(D6/D9,"")</f>
        <v/>
      </c>
      <c r="E30" s="11">
        <f>IFERROR(E6/E9,"")</f>
        <v/>
      </c>
      <c r="F30" s="10">
        <f>IFERROR(F6/F9,"")</f>
        <v/>
      </c>
      <c r="G30" s="10">
        <f>IFERROR(G6/G9,"")</f>
        <v/>
      </c>
      <c r="H30" s="10">
        <f>IFERROR(H6/H9,"")</f>
        <v/>
      </c>
      <c r="I30" s="10">
        <f>IFERROR(I6/I9,"")</f>
        <v/>
      </c>
      <c r="J30" s="10">
        <f>IFERROR(J6/J9,"")</f>
        <v/>
      </c>
      <c r="K30" s="10">
        <f>IFERROR(K6/K9,"")</f>
        <v/>
      </c>
      <c r="L30" s="10">
        <f>IFERROR(L6/L9,"")</f>
        <v/>
      </c>
      <c r="M30" s="10">
        <f>IFERROR(M6/M9,"")</f>
        <v/>
      </c>
      <c r="N30" s="25">
        <f>IFERROR(AVERAGE(B30:M30),"")</f>
        <v/>
      </c>
    </row>
    <row r="31" ht="15" customHeight="1">
      <c r="A31" s="5" t="inlineStr">
        <is>
          <t>S/ por Servicio (Monto/Serv)</t>
        </is>
      </c>
      <c r="B31" s="10">
        <f>IFERROR(B6/B19,"")</f>
        <v/>
      </c>
      <c r="C31" s="10">
        <f>IFERROR(C6/C19,"")</f>
        <v/>
      </c>
      <c r="D31" s="10">
        <f>IFERROR(D6/D19,"")</f>
        <v/>
      </c>
      <c r="E31" s="11">
        <f>IFERROR(E6/E19,"")</f>
        <v/>
      </c>
      <c r="F31" s="10">
        <f>IFERROR(F6/F19,"")</f>
        <v/>
      </c>
      <c r="G31" s="10">
        <f>IFERROR(G6/G19,"")</f>
        <v/>
      </c>
      <c r="H31" s="10">
        <f>IFERROR(H6/H19,"")</f>
        <v/>
      </c>
      <c r="I31" s="10">
        <f>IFERROR(I6/I19,"")</f>
        <v/>
      </c>
      <c r="J31" s="10">
        <f>IFERROR(J6/J19,"")</f>
        <v/>
      </c>
      <c r="K31" s="10">
        <f>IFERROR(K6/K19,"")</f>
        <v/>
      </c>
      <c r="L31" s="10">
        <f>IFERROR(L6/L19,"")</f>
        <v/>
      </c>
      <c r="M31" s="10">
        <f>IFERROR(M6/M19,"")</f>
        <v/>
      </c>
      <c r="N31" s="25">
        <f>IFERROR(AVERAGE(B31:M31),"")</f>
        <v/>
      </c>
    </row>
    <row r="32" ht="15" customHeight="1">
      <c r="A32" s="5" t="inlineStr">
        <is>
          <t>VENTA (S/ ingresos)</t>
        </is>
      </c>
      <c r="B32" s="10" t="n">
        <v>428733.8013999999</v>
      </c>
      <c r="C32" s="10" t="n">
        <v>227405.0924</v>
      </c>
      <c r="D32" s="10" t="n">
        <v>256292.9792</v>
      </c>
      <c r="E32" s="11" t="n">
        <v>132824.76</v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10">
        <f>IFERROR(AVERAGE(B32:M32),"")</f>
        <v/>
      </c>
    </row>
    <row r="33" ht="15" customHeight="1">
      <c r="A33" s="5" t="inlineStr">
        <is>
          <t>UTILIDAD TOTAL</t>
        </is>
      </c>
      <c r="B33" s="10" t="n"/>
      <c r="C33" s="10" t="n"/>
      <c r="D33" s="10" t="n"/>
      <c r="E33" s="11" t="n"/>
      <c r="F33" s="8" t="n"/>
      <c r="G33" s="8" t="n"/>
      <c r="H33" s="8" t="n"/>
      <c r="I33" s="8" t="n"/>
      <c r="J33" s="8" t="n"/>
      <c r="K33" s="8" t="n"/>
      <c r="L33" s="8" t="n"/>
      <c r="M33" s="8" t="n"/>
      <c r="N33" s="10" t="n"/>
    </row>
    <row r="34" ht="15" customHeight="1">
      <c r="A34" s="5" t="inlineStr">
        <is>
          <t>ROI % (Retorno Inversión)</t>
        </is>
      </c>
      <c r="B34" s="33">
        <f>IFERROR((B32-B6)/B6,"")</f>
        <v/>
      </c>
      <c r="C34" s="33">
        <f>IFERROR((C32-C6)/C6,"")</f>
        <v/>
      </c>
      <c r="D34" s="33">
        <f>IFERROR((D32-D6)/D6,"")</f>
        <v/>
      </c>
      <c r="E34" s="34">
        <f>IFERROR((E32-E6)/E6,"")</f>
        <v/>
      </c>
      <c r="F34" s="14">
        <f>IFERROR((F32-F6)/F6,"")</f>
        <v/>
      </c>
      <c r="G34" s="14">
        <f>IFERROR((G32-G6)/G6,"")</f>
        <v/>
      </c>
      <c r="H34" s="14">
        <f>IFERROR((H32-H6)/H6,"")</f>
        <v/>
      </c>
      <c r="I34" s="14">
        <f>IFERROR((I32-I6)/I6,"")</f>
        <v/>
      </c>
      <c r="J34" s="14">
        <f>IFERROR((J32-J6)/J6,"")</f>
        <v/>
      </c>
      <c r="K34" s="14">
        <f>IFERROR((K32-K6)/K6,"")</f>
        <v/>
      </c>
      <c r="L34" s="14">
        <f>IFERROR((L32-L6)/L6,"")</f>
        <v/>
      </c>
      <c r="M34" s="14">
        <f>IFERROR((M32-M6)/M6,"")</f>
        <v/>
      </c>
      <c r="N34" s="24">
        <f>IFERROR(AVERAGE(B34:M34),"")</f>
        <v/>
      </c>
    </row>
    <row r="35" ht="15" customHeight="1">
      <c r="A35" s="5" t="inlineStr">
        <is>
          <t>ROAS (Venta/Inversión)</t>
        </is>
      </c>
      <c r="B35" s="26">
        <f>IFERROR(B32/B6,"")</f>
        <v/>
      </c>
      <c r="C35" s="26">
        <f>IFERROR(C32/C6,"")</f>
        <v/>
      </c>
      <c r="D35" s="26">
        <f>IFERROR(D32/D6,"")</f>
        <v/>
      </c>
      <c r="E35" s="27">
        <f>IFERROR(E32/E6,"")</f>
        <v/>
      </c>
      <c r="F35" s="26">
        <f>IFERROR(F32/F6,"")</f>
        <v/>
      </c>
      <c r="G35" s="26">
        <f>IFERROR(G32/G6,"")</f>
        <v/>
      </c>
      <c r="H35" s="26">
        <f>IFERROR(H32/H6,"")</f>
        <v/>
      </c>
      <c r="I35" s="26">
        <f>IFERROR(I32/I6,"")</f>
        <v/>
      </c>
      <c r="J35" s="26">
        <f>IFERROR(J32/J6,"")</f>
        <v/>
      </c>
      <c r="K35" s="26">
        <f>IFERROR(K32/K6,"")</f>
        <v/>
      </c>
      <c r="L35" s="26">
        <f>IFERROR(L32/L6,"")</f>
        <v/>
      </c>
      <c r="M35" s="26">
        <f>IFERROR(M32/M6,"")</f>
        <v/>
      </c>
    </row>
    <row r="36" ht="15" customHeight="1">
      <c r="N36" s="24" t="n"/>
    </row>
    <row r="37" ht="15" customHeight="1">
      <c r="A37" s="28" t="inlineStr">
        <is>
          <t>LEADS Y CONVERSIÓN</t>
        </is>
      </c>
      <c r="N37" s="24" t="n"/>
    </row>
    <row r="38" ht="15" customHeight="1">
      <c r="A38" s="5" t="inlineStr">
        <is>
          <t>LEADS G.</t>
        </is>
      </c>
      <c r="B38" s="8" t="n"/>
      <c r="C38" s="8" t="n"/>
      <c r="D38" s="8" t="n"/>
      <c r="E38" s="29" t="n">
        <v>5475</v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30">
        <f>IFERROR(AVERAGE(B37:M37),"")</f>
        <v/>
      </c>
    </row>
    <row r="39" ht="15" customHeight="1">
      <c r="A39" s="5" t="inlineStr">
        <is>
          <t>LEAD A PROSPECTO</t>
        </is>
      </c>
      <c r="B39" s="14">
        <f>IFERROR(B9/B37,"")</f>
        <v/>
      </c>
      <c r="C39" s="14">
        <f>IFERROR(C9/C37,"")</f>
        <v/>
      </c>
      <c r="D39" s="14">
        <f>IFERROR(D9/D37,"")</f>
        <v/>
      </c>
      <c r="E39" s="15">
        <f>IFERROR(E9/E37,"")</f>
        <v/>
      </c>
      <c r="F39" s="14">
        <f>IFERROR(F9/F37,"")</f>
        <v/>
      </c>
      <c r="G39" s="14">
        <f>IFERROR(G9/G37,"")</f>
        <v/>
      </c>
      <c r="H39" s="14">
        <f>IFERROR(H9/H37,"")</f>
        <v/>
      </c>
      <c r="I39" s="14">
        <f>IFERROR(I9/I37,"")</f>
        <v/>
      </c>
      <c r="J39" s="14">
        <f>IFERROR(J9/J37,"")</f>
        <v/>
      </c>
      <c r="K39" s="14">
        <f>IFERROR(K9/K37,"")</f>
        <v/>
      </c>
      <c r="L39" s="14">
        <f>IFERROR(L9/L37,"")</f>
        <v/>
      </c>
      <c r="M39" s="14">
        <f>IFERROR(M9/M37,"")</f>
        <v/>
      </c>
      <c r="N39" s="24">
        <f>IFERROR(AVERAGE(B38:M38),"")</f>
        <v/>
      </c>
    </row>
    <row r="40" ht="15" customHeight="1">
      <c r="A40" s="5" t="inlineStr">
        <is>
          <t>CONVERSION PROSP-CLIENTE</t>
        </is>
      </c>
      <c r="B40" s="14">
        <f>IFERROR(B19/B9,"")</f>
        <v/>
      </c>
      <c r="C40" s="14">
        <f>IFERROR(C19/C9,"")</f>
        <v/>
      </c>
      <c r="D40" s="14">
        <f>IFERROR(D19/D9,"")</f>
        <v/>
      </c>
      <c r="E40" s="15">
        <f>IFERROR(E19/E9,"")</f>
        <v/>
      </c>
      <c r="F40" s="14">
        <f>IFERROR(F19/F9,"")</f>
        <v/>
      </c>
      <c r="G40" s="14">
        <f>IFERROR(G19/G9,"")</f>
        <v/>
      </c>
      <c r="H40" s="14">
        <f>IFERROR(H19/H9,"")</f>
        <v/>
      </c>
      <c r="I40" s="14">
        <f>IFERROR(I19/I9,"")</f>
        <v/>
      </c>
      <c r="J40" s="14">
        <f>IFERROR(J19/J9,"")</f>
        <v/>
      </c>
      <c r="K40" s="14">
        <f>IFERROR(K19/K9,"")</f>
        <v/>
      </c>
      <c r="L40" s="14">
        <f>IFERROR(L19/L9,"")</f>
        <v/>
      </c>
      <c r="M40" s="14">
        <f>IFERROR(M19/M9,"")</f>
        <v/>
      </c>
      <c r="N40" s="24">
        <f>IFERROR(AVERAGE(B39:M39),"")</f>
        <v/>
      </c>
    </row>
  </sheetData>
  <mergeCells count="1"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32" customWidth="1" min="7" max="7"/>
    <col width="30" customWidth="1" min="8" max="8"/>
  </cols>
  <sheetData>
    <row r="1">
      <c r="A1" s="60" t="inlineStr">
        <is>
          <t>SEGUIMIENTO MÉTRICAS INTERNAS — Reemplaza sección 'Inbound'</t>
        </is>
      </c>
    </row>
    <row r="2">
      <c r="A2" s="61" t="inlineStr">
        <is>
          <t>Cubre: prospectos, captación, conversión, agenda, ventas por asesor. Fuente: SEGUIMIENTO PROSPECCION 2026.</t>
        </is>
      </c>
    </row>
    <row r="4">
      <c r="A4" s="62" t="inlineStr">
        <is>
          <t>KPI Interno</t>
        </is>
      </c>
      <c r="B4" s="62" t="inlineStr">
        <is>
          <t>ENE</t>
        </is>
      </c>
      <c r="C4" s="62" t="inlineStr">
        <is>
          <t>FEB</t>
        </is>
      </c>
      <c r="D4" s="62" t="inlineStr">
        <is>
          <t>MAR</t>
        </is>
      </c>
      <c r="E4" s="62" t="inlineStr">
        <is>
          <t>ABR</t>
        </is>
      </c>
      <c r="F4" s="62" t="inlineStr">
        <is>
          <t>MAY*</t>
        </is>
      </c>
      <c r="G4" s="62" t="inlineStr">
        <is>
          <t>Fuente</t>
        </is>
      </c>
      <c r="H4" s="62" t="inlineStr">
        <is>
          <t>Notas</t>
        </is>
      </c>
    </row>
    <row r="5">
      <c r="A5" s="63" t="inlineStr">
        <is>
          <t>Total Leads brutos</t>
        </is>
      </c>
      <c r="B5" s="63" t="inlineStr">
        <is>
          <t>PEND</t>
        </is>
      </c>
      <c r="C5" s="63" t="inlineStr">
        <is>
          <t>PEND</t>
        </is>
      </c>
      <c r="D5" s="63" t="inlineStr">
        <is>
          <t>PEND</t>
        </is>
      </c>
      <c r="E5" s="63" t="n">
        <v>5475</v>
      </c>
      <c r="F5" s="63" t="inlineStr">
        <is>
          <t>PEND</t>
        </is>
      </c>
      <c r="G5" s="63" t="inlineStr">
        <is>
          <t>PROSPECCION 2026</t>
        </is>
      </c>
      <c r="H5" s="63" t="inlineStr">
        <is>
          <t>Antes filtro</t>
        </is>
      </c>
    </row>
    <row r="6">
      <c r="A6" s="63" t="inlineStr">
        <is>
          <t>Prospectos Ingresados</t>
        </is>
      </c>
      <c r="B6" s="63" t="n">
        <v>2333</v>
      </c>
      <c r="C6" s="63" t="n">
        <v>2343</v>
      </c>
      <c r="D6" s="63" t="n">
        <v>1876</v>
      </c>
      <c r="E6" s="63" t="n">
        <v>3347</v>
      </c>
      <c r="F6" s="63" t="n">
        <v>1365</v>
      </c>
      <c r="G6" s="63" t="inlineStr">
        <is>
          <t>PROSPECCION 2026 / total CRIO</t>
        </is>
      </c>
      <c r="H6" s="63" t="inlineStr">
        <is>
          <t>Flujo activo</t>
        </is>
      </c>
    </row>
    <row r="7">
      <c r="A7" s="63" t="inlineStr">
        <is>
          <t>Prospectos Válidos</t>
        </is>
      </c>
      <c r="B7" s="63" t="n">
        <v>1765</v>
      </c>
      <c r="C7" s="63" t="n">
        <v>1696</v>
      </c>
      <c r="D7" s="63" t="n">
        <v>1443</v>
      </c>
      <c r="E7" s="63" t="n">
        <v>1417</v>
      </c>
      <c r="F7" s="63" t="inlineStr">
        <is>
          <t>PEND</t>
        </is>
      </c>
      <c r="G7" s="63" t="inlineStr">
        <is>
          <t>PROSPECCION 2026 col VALIDOS</t>
        </is>
      </c>
      <c r="H7" s="63" t="inlineStr">
        <is>
          <t>Listo para asesor</t>
        </is>
      </c>
    </row>
    <row r="8">
      <c r="A8" s="63" t="inlineStr">
        <is>
          <t>% Validación</t>
        </is>
      </c>
      <c r="B8" s="63" t="inlineStr">
        <is>
          <t>75.7%</t>
        </is>
      </c>
      <c r="C8" s="63" t="inlineStr">
        <is>
          <t>72.4%</t>
        </is>
      </c>
      <c r="D8" s="63" t="inlineStr">
        <is>
          <t>76.9%</t>
        </is>
      </c>
      <c r="E8" s="63" t="inlineStr">
        <is>
          <t>42.3%</t>
        </is>
      </c>
      <c r="F8" s="63" t="inlineStr">
        <is>
          <t>PEND</t>
        </is>
      </c>
      <c r="G8" s="63" t="inlineStr">
        <is>
          <t>Calculado</t>
        </is>
      </c>
      <c r="H8" s="63" t="inlineStr"/>
    </row>
    <row r="9">
      <c r="A9" s="63" t="inlineStr">
        <is>
          <t>Captación VM (visitadores)</t>
        </is>
      </c>
      <c r="B9" s="63" t="n">
        <v>431</v>
      </c>
      <c r="C9" s="63" t="n">
        <v>656</v>
      </c>
      <c r="D9" s="63" t="n">
        <v>884</v>
      </c>
      <c r="E9" s="63" t="n">
        <v>885</v>
      </c>
      <c r="F9" s="63" t="n">
        <v>312</v>
      </c>
      <c r="G9" s="63" t="inlineStr">
        <is>
          <t>PROSPECCION VISITADORES</t>
        </is>
      </c>
      <c r="H9" s="63" t="inlineStr">
        <is>
          <t>Sin Diana</t>
        </is>
      </c>
    </row>
    <row r="10">
      <c r="A10" s="63" t="inlineStr">
        <is>
          <t>Captación Comercial (FFVV)</t>
        </is>
      </c>
      <c r="B10" s="63" t="n">
        <v>1097</v>
      </c>
      <c r="C10" s="63" t="n">
        <v>772</v>
      </c>
      <c r="D10" s="63" t="n">
        <v>815</v>
      </c>
      <c r="E10" s="63" t="inlineStr">
        <is>
          <t>—</t>
        </is>
      </c>
      <c r="F10" s="63" t="n">
        <v>717</v>
      </c>
      <c r="G10" s="63" t="inlineStr">
        <is>
          <t>PROSPECCION FFVV</t>
        </is>
      </c>
      <c r="H10" s="63" t="inlineStr">
        <is>
          <t>Asesores</t>
        </is>
      </c>
    </row>
    <row r="11">
      <c r="A11" s="63" t="inlineStr">
        <is>
          <t>Captación MKT digital</t>
        </is>
      </c>
      <c r="B11" s="63" t="n">
        <v>137</v>
      </c>
      <c r="C11" s="63" t="n">
        <v>156</v>
      </c>
      <c r="D11" s="63" t="n">
        <v>137</v>
      </c>
      <c r="E11" s="63" t="inlineStr">
        <is>
          <t>—</t>
        </is>
      </c>
      <c r="F11" s="63" t="n">
        <v>331</v>
      </c>
      <c r="G11" s="63" t="inlineStr">
        <is>
          <t>PROSPECCION MKT</t>
        </is>
      </c>
      <c r="H11" s="63" t="inlineStr"/>
    </row>
    <row r="12">
      <c r="A12" s="63" t="inlineStr">
        <is>
          <t>Captación Anualidades</t>
        </is>
      </c>
      <c r="B12" s="63" t="n">
        <v>61</v>
      </c>
      <c r="C12" s="63" t="n">
        <v>53</v>
      </c>
      <c r="D12" s="63" t="n">
        <v>40</v>
      </c>
      <c r="E12" s="63" t="inlineStr">
        <is>
          <t>—</t>
        </is>
      </c>
      <c r="F12" s="63" t="n">
        <v>5</v>
      </c>
      <c r="G12" s="63" t="inlineStr">
        <is>
          <t>PROSPECCION ANUALIDADES</t>
        </is>
      </c>
      <c r="H12" s="63" t="inlineStr">
        <is>
          <t>Reactivación</t>
        </is>
      </c>
    </row>
    <row r="13">
      <c r="A13" s="63" t="inlineStr">
        <is>
          <t>Servicios cerrados Total</t>
        </is>
      </c>
      <c r="B13" s="63" t="n">
        <v>139</v>
      </c>
      <c r="C13" s="63" t="n">
        <v>81</v>
      </c>
      <c r="D13" s="63" t="n">
        <v>100</v>
      </c>
      <c r="E13" s="63" t="n">
        <v>49</v>
      </c>
      <c r="F13" s="63" t="n">
        <v>109</v>
      </c>
      <c r="G13" s="63" t="inlineStr">
        <is>
          <t>TOTAL deck</t>
        </is>
      </c>
      <c r="H13" s="63" t="inlineStr">
        <is>
          <t>UCU+ADN+Tam+MyP (May +Seg)</t>
        </is>
      </c>
    </row>
    <row r="14">
      <c r="A14" s="63" t="inlineStr">
        <is>
          <t>Citas agendadas asesores</t>
        </is>
      </c>
      <c r="B14" s="63" t="inlineStr">
        <is>
          <t>PEND</t>
        </is>
      </c>
      <c r="C14" s="63" t="inlineStr">
        <is>
          <t>PEND</t>
        </is>
      </c>
      <c r="D14" s="63" t="inlineStr">
        <is>
          <t>PEND</t>
        </is>
      </c>
      <c r="E14" s="63" t="inlineStr">
        <is>
          <t>PEND</t>
        </is>
      </c>
      <c r="F14" s="63" t="inlineStr">
        <is>
          <t>PEND</t>
        </is>
      </c>
      <c r="G14" s="63" t="inlineStr">
        <is>
          <t>CRM / Wati Comercial</t>
        </is>
      </c>
      <c r="H14" s="63" t="inlineStr">
        <is>
          <t>A activar</t>
        </is>
      </c>
    </row>
    <row r="15">
      <c r="A15" s="63" t="inlineStr">
        <is>
          <t>Tasa de Cierre %</t>
        </is>
      </c>
      <c r="B15" s="63" t="inlineStr">
        <is>
          <t>7.9%</t>
        </is>
      </c>
      <c r="C15" s="63" t="inlineStr">
        <is>
          <t>4.8%</t>
        </is>
      </c>
      <c r="D15" s="63" t="inlineStr">
        <is>
          <t>6.9%</t>
        </is>
      </c>
      <c r="E15" s="63" t="inlineStr">
        <is>
          <t>3.5%</t>
        </is>
      </c>
      <c r="F15" s="63" t="inlineStr">
        <is>
          <t>PEND</t>
        </is>
      </c>
      <c r="G15" s="63" t="inlineStr">
        <is>
          <t>Serv/Válidos</t>
        </is>
      </c>
      <c r="H15" s="63" t="inlineStr"/>
    </row>
    <row r="16">
      <c r="A16" s="63" t="inlineStr">
        <is>
          <t>Ticket promedio (S/)</t>
        </is>
      </c>
      <c r="B16" s="63" t="inlineStr">
        <is>
          <t>3,084</t>
        </is>
      </c>
      <c r="C16" s="63" t="inlineStr">
        <is>
          <t>2,808</t>
        </is>
      </c>
      <c r="D16" s="63" t="inlineStr">
        <is>
          <t>2,563</t>
        </is>
      </c>
      <c r="E16" s="63" t="inlineStr">
        <is>
          <t>2,710</t>
        </is>
      </c>
      <c r="F16" s="63" t="inlineStr">
        <is>
          <t>PEND</t>
        </is>
      </c>
      <c r="G16" s="63" t="inlineStr">
        <is>
          <t>Venta/Servicios</t>
        </is>
      </c>
      <c r="H16" s="63" t="inlineStr"/>
    </row>
    <row r="17">
      <c r="A17" s="63" t="inlineStr">
        <is>
          <t>MONTO 26 invertido (S/)</t>
        </is>
      </c>
      <c r="B17" s="63" t="inlineStr">
        <is>
          <t>12,000</t>
        </is>
      </c>
      <c r="C17" s="63" t="inlineStr">
        <is>
          <t>12,423</t>
        </is>
      </c>
      <c r="D17" s="63" t="inlineStr">
        <is>
          <t>18,217</t>
        </is>
      </c>
      <c r="E17" s="63" t="inlineStr">
        <is>
          <t>19,968</t>
        </is>
      </c>
      <c r="F17" s="63" t="inlineStr">
        <is>
          <t>PEND</t>
        </is>
      </c>
      <c r="G17" s="63" t="inlineStr">
        <is>
          <t>PPTO MKT DW</t>
        </is>
      </c>
      <c r="H17" s="63" t="inlineStr"/>
    </row>
    <row r="18">
      <c r="A18" s="63" t="inlineStr">
        <is>
          <t>CAC (S/) por válido</t>
        </is>
      </c>
      <c r="B18" s="63" t="inlineStr">
        <is>
          <t>6.80</t>
        </is>
      </c>
      <c r="C18" s="63" t="inlineStr">
        <is>
          <t>7.32</t>
        </is>
      </c>
      <c r="D18" s="63" t="inlineStr">
        <is>
          <t>12.63</t>
        </is>
      </c>
      <c r="E18" s="63" t="inlineStr">
        <is>
          <t>14.09</t>
        </is>
      </c>
      <c r="F18" s="63" t="inlineStr">
        <is>
          <t>PEND</t>
        </is>
      </c>
      <c r="G18" s="63" t="inlineStr">
        <is>
          <t>MONTO/Válidos</t>
        </is>
      </c>
      <c r="H18" s="63" t="inlineStr"/>
    </row>
    <row r="20">
      <c r="A20" s="64" t="inlineStr">
        <is>
          <t>* MAY corte 18/05/2026 — parcial. Se cierra al 31/05.</t>
        </is>
      </c>
    </row>
    <row r="23">
      <c r="A23" s="65" t="inlineStr">
        <is>
          <t>PERFORMANCE POR ASESOR — MAYO 2026 (corte 18/05)</t>
        </is>
      </c>
    </row>
    <row r="24">
      <c r="A24" s="62" t="inlineStr">
        <is>
          <t>Asesor</t>
        </is>
      </c>
      <c r="B24" s="62" t="inlineStr">
        <is>
          <t>Cord</t>
        </is>
      </c>
      <c r="C24" s="62" t="inlineStr">
        <is>
          <t>Tam</t>
        </is>
      </c>
      <c r="D24" s="62" t="inlineStr">
        <is>
          <t>ADN</t>
        </is>
      </c>
      <c r="E24" s="62" t="inlineStr">
        <is>
          <t>MyP</t>
        </is>
      </c>
      <c r="F24" s="62" t="inlineStr">
        <is>
          <t>Seg</t>
        </is>
      </c>
      <c r="G24" s="62" t="inlineStr">
        <is>
          <t>TOTAL</t>
        </is>
      </c>
      <c r="H24" s="62" t="inlineStr">
        <is>
          <t>Ingresos atribuidos</t>
        </is>
      </c>
    </row>
    <row r="25">
      <c r="A25" s="63" t="inlineStr">
        <is>
          <t>SKN Heinrich</t>
        </is>
      </c>
      <c r="B25" s="63" t="n">
        <v>13</v>
      </c>
      <c r="C25" s="63" t="n">
        <v>6</v>
      </c>
      <c r="D25" s="63" t="n">
        <v>8</v>
      </c>
      <c r="E25" s="63" t="n">
        <v>4</v>
      </c>
      <c r="F25" s="63" t="n">
        <v>7</v>
      </c>
      <c r="G25" s="63" t="n">
        <v>38</v>
      </c>
      <c r="H25" s="63" t="inlineStr">
        <is>
          <t>PEND</t>
        </is>
      </c>
    </row>
    <row r="26">
      <c r="A26" s="63" t="inlineStr">
        <is>
          <t>Adler</t>
        </is>
      </c>
      <c r="B26" s="63" t="n">
        <v>8</v>
      </c>
      <c r="C26" s="63" t="n">
        <v>7</v>
      </c>
      <c r="D26" s="63" t="n">
        <v>5</v>
      </c>
      <c r="E26" s="63" t="n">
        <v>1</v>
      </c>
      <c r="F26" s="63" t="n">
        <v>3</v>
      </c>
      <c r="G26" s="63" t="n">
        <v>24</v>
      </c>
      <c r="H26" s="63" t="inlineStr">
        <is>
          <t>PEND</t>
        </is>
      </c>
    </row>
    <row r="27">
      <c r="A27" s="63" t="inlineStr">
        <is>
          <t>Liseth</t>
        </is>
      </c>
      <c r="B27" s="63" t="n">
        <v>13</v>
      </c>
      <c r="C27" s="63" t="n">
        <v>7</v>
      </c>
      <c r="D27" s="63" t="n">
        <v>2</v>
      </c>
      <c r="E27" s="63" t="n">
        <v>3</v>
      </c>
      <c r="F27" s="63" t="n">
        <v>7</v>
      </c>
      <c r="G27" s="63" t="n">
        <v>32</v>
      </c>
      <c r="H27" s="63" t="inlineStr">
        <is>
          <t>PEND</t>
        </is>
      </c>
    </row>
    <row r="28">
      <c r="A28" s="63" t="inlineStr">
        <is>
          <t>Carolina</t>
        </is>
      </c>
      <c r="B28" s="63" t="n">
        <v>9</v>
      </c>
      <c r="C28" s="63" t="n">
        <v>3</v>
      </c>
      <c r="D28" s="63" t="n">
        <v>1</v>
      </c>
      <c r="E28" s="63" t="n">
        <v>0</v>
      </c>
      <c r="F28" s="63" t="n">
        <v>2</v>
      </c>
      <c r="G28" s="63" t="n">
        <v>15</v>
      </c>
      <c r="H28" s="63" t="inlineStr">
        <is>
          <t>PEND</t>
        </is>
      </c>
    </row>
    <row r="29">
      <c r="A29" s="66" t="inlineStr">
        <is>
          <t>TOTAL FFVV</t>
        </is>
      </c>
      <c r="B29" s="66" t="n">
        <v>43</v>
      </c>
      <c r="C29" s="66" t="n">
        <v>23</v>
      </c>
      <c r="D29" s="66" t="n">
        <v>16</v>
      </c>
      <c r="E29" s="66" t="n">
        <v>8</v>
      </c>
      <c r="F29" s="66" t="n">
        <v>19</v>
      </c>
      <c r="G29" s="66" t="n">
        <v>109</v>
      </c>
      <c r="H29" s="66" t="inlineStr">
        <is>
          <t>—</t>
        </is>
      </c>
    </row>
    <row r="33">
      <c r="A33" s="67" t="inlineStr">
        <is>
          <t>FUENTE PRINCIPAL:</t>
        </is>
      </c>
    </row>
    <row r="34">
      <c r="A34" s="68" t="inlineStr">
        <is>
          <t>https://pecriocord-my.sharepoint.com/personal/dwalcheff_criocord_com_pe/Documents/4.%20MARKETING/1.%20ADMINISTRATIVO%20PROMOCION/SEGUIMIENTO%20DE%20PROSPECCION/2026/SEGUIMIENTO%20PROSPECCION%202026.xlsx</t>
        </is>
      </c>
    </row>
  </sheetData>
  <mergeCells count="3">
    <mergeCell ref="A23:H23"/>
    <mergeCell ref="A2:H2"/>
    <mergeCell ref="A1:H1"/>
  </mergeCells>
  <hyperlinks>
    <hyperlink xmlns:r="http://schemas.openxmlformats.org/officeDocument/2006/relationships" ref="A34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8" customWidth="1" min="7" max="7"/>
    <col width="30" customWidth="1" min="8" max="8"/>
  </cols>
  <sheetData>
    <row r="1">
      <c r="A1" s="60" t="inlineStr">
        <is>
          <t>SEGUIMIENTO MÉTRICAS EXTERNAS — Web / Redes / Paid / SEO / Email</t>
        </is>
      </c>
    </row>
    <row r="2">
      <c r="A2" s="61" t="inlineStr">
        <is>
          <t>Audiencia y performance externa. Conectar GA4 + Meta Business + Google Ads + Brevo.</t>
        </is>
      </c>
    </row>
    <row r="4">
      <c r="A4" s="62" t="inlineStr">
        <is>
          <t>KPI Externo</t>
        </is>
      </c>
      <c r="B4" s="62" t="inlineStr">
        <is>
          <t>ENE</t>
        </is>
      </c>
      <c r="C4" s="62" t="inlineStr">
        <is>
          <t>FEB</t>
        </is>
      </c>
      <c r="D4" s="62" t="inlineStr">
        <is>
          <t>MAR</t>
        </is>
      </c>
      <c r="E4" s="62" t="inlineStr">
        <is>
          <t>ABR</t>
        </is>
      </c>
      <c r="F4" s="62" t="inlineStr">
        <is>
          <t>MAY*</t>
        </is>
      </c>
      <c r="G4" s="62" t="inlineStr">
        <is>
          <t>Fuente</t>
        </is>
      </c>
      <c r="H4" s="62" t="inlineStr">
        <is>
          <t>Notas</t>
        </is>
      </c>
    </row>
    <row r="5">
      <c r="A5" s="69" t="inlineStr">
        <is>
          <t>— WEB (criocord.com.pe) —</t>
        </is>
      </c>
      <c r="B5" s="66" t="inlineStr"/>
      <c r="C5" s="66" t="inlineStr"/>
      <c r="D5" s="66" t="inlineStr"/>
      <c r="E5" s="66" t="inlineStr"/>
      <c r="F5" s="66" t="inlineStr"/>
      <c r="G5" s="66" t="inlineStr"/>
      <c r="H5" s="66" t="inlineStr"/>
    </row>
    <row r="6">
      <c r="A6" s="63" t="inlineStr">
        <is>
          <t>Sesiones totales</t>
        </is>
      </c>
      <c r="B6" s="63" t="inlineStr">
        <is>
          <t>PEND</t>
        </is>
      </c>
      <c r="C6" s="63" t="inlineStr">
        <is>
          <t>PEND</t>
        </is>
      </c>
      <c r="D6" s="63" t="inlineStr">
        <is>
          <t>PEND</t>
        </is>
      </c>
      <c r="E6" s="63" t="inlineStr">
        <is>
          <t>PEND</t>
        </is>
      </c>
      <c r="F6" s="63" t="inlineStr">
        <is>
          <t>PEND</t>
        </is>
      </c>
      <c r="G6" s="63" t="inlineStr">
        <is>
          <t>Google Analytics 4</t>
        </is>
      </c>
      <c r="H6" s="63" t="inlineStr">
        <is>
          <t>Conectar GA4</t>
        </is>
      </c>
    </row>
    <row r="7">
      <c r="A7" s="63" t="inlineStr">
        <is>
          <t>Usuarios nuevos</t>
        </is>
      </c>
      <c r="B7" s="63" t="inlineStr">
        <is>
          <t>PEND</t>
        </is>
      </c>
      <c r="C7" s="63" t="inlineStr">
        <is>
          <t>PEND</t>
        </is>
      </c>
      <c r="D7" s="63" t="inlineStr">
        <is>
          <t>PEND</t>
        </is>
      </c>
      <c r="E7" s="63" t="inlineStr">
        <is>
          <t>PEND</t>
        </is>
      </c>
      <c r="F7" s="63" t="inlineStr">
        <is>
          <t>PEND</t>
        </is>
      </c>
      <c r="G7" s="63" t="inlineStr">
        <is>
          <t>GA4</t>
        </is>
      </c>
      <c r="H7" s="63" t="inlineStr"/>
    </row>
    <row r="8">
      <c r="A8" s="63" t="inlineStr">
        <is>
          <t>Bounce rate</t>
        </is>
      </c>
      <c r="B8" s="63" t="inlineStr">
        <is>
          <t>PEND</t>
        </is>
      </c>
      <c r="C8" s="63" t="inlineStr">
        <is>
          <t>PEND</t>
        </is>
      </c>
      <c r="D8" s="63" t="inlineStr">
        <is>
          <t>PEND</t>
        </is>
      </c>
      <c r="E8" s="63" t="inlineStr">
        <is>
          <t>PEND</t>
        </is>
      </c>
      <c r="F8" s="63" t="inlineStr">
        <is>
          <t>PEND</t>
        </is>
      </c>
      <c r="G8" s="63" t="inlineStr">
        <is>
          <t>GA4</t>
        </is>
      </c>
      <c r="H8" s="63" t="inlineStr"/>
    </row>
    <row r="9">
      <c r="A9" s="63" t="inlineStr">
        <is>
          <t>Tiempo en página servicio</t>
        </is>
      </c>
      <c r="B9" s="63" t="inlineStr">
        <is>
          <t>PEND</t>
        </is>
      </c>
      <c r="C9" s="63" t="inlineStr">
        <is>
          <t>PEND</t>
        </is>
      </c>
      <c r="D9" s="63" t="inlineStr">
        <is>
          <t>PEND</t>
        </is>
      </c>
      <c r="E9" s="63" t="inlineStr">
        <is>
          <t>PEND</t>
        </is>
      </c>
      <c r="F9" s="63" t="inlineStr">
        <is>
          <t>PEND</t>
        </is>
      </c>
      <c r="G9" s="63" t="inlineStr">
        <is>
          <t>GA4 /pages/services</t>
        </is>
      </c>
      <c r="H9" s="63" t="inlineStr"/>
    </row>
    <row r="10">
      <c r="A10" s="63" t="inlineStr">
        <is>
          <t>Conversiones (form lead)</t>
        </is>
      </c>
      <c r="B10" s="63" t="inlineStr">
        <is>
          <t>PEND</t>
        </is>
      </c>
      <c r="C10" s="63" t="inlineStr">
        <is>
          <t>PEND</t>
        </is>
      </c>
      <c r="D10" s="63" t="inlineStr">
        <is>
          <t>PEND</t>
        </is>
      </c>
      <c r="E10" s="63" t="inlineStr">
        <is>
          <t>PEND</t>
        </is>
      </c>
      <c r="F10" s="63" t="inlineStr">
        <is>
          <t>PEND</t>
        </is>
      </c>
      <c r="G10" s="63" t="inlineStr">
        <is>
          <t>GA4 evento</t>
        </is>
      </c>
      <c r="H10" s="63" t="inlineStr"/>
    </row>
    <row r="11">
      <c r="A11" s="69" t="inlineStr">
        <is>
          <t>— REDES SOCIALES —</t>
        </is>
      </c>
      <c r="B11" s="66" t="inlineStr"/>
      <c r="C11" s="66" t="inlineStr"/>
      <c r="D11" s="66" t="inlineStr"/>
      <c r="E11" s="66" t="inlineStr"/>
      <c r="F11" s="66" t="inlineStr"/>
      <c r="G11" s="66" t="inlineStr"/>
      <c r="H11" s="66" t="inlineStr"/>
    </row>
    <row r="12">
      <c r="A12" s="63" t="inlineStr">
        <is>
          <t>Alcance IG + FB + TikTok</t>
        </is>
      </c>
      <c r="B12" s="63" t="inlineStr">
        <is>
          <t>PEND</t>
        </is>
      </c>
      <c r="C12" s="63" t="inlineStr">
        <is>
          <t>PEND</t>
        </is>
      </c>
      <c r="D12" s="63" t="inlineStr">
        <is>
          <t>PEND</t>
        </is>
      </c>
      <c r="E12" s="63" t="inlineStr">
        <is>
          <t>PEND</t>
        </is>
      </c>
      <c r="F12" s="63" t="inlineStr">
        <is>
          <t>PEND</t>
        </is>
      </c>
      <c r="G12" s="63" t="inlineStr">
        <is>
          <t>Meta / TikTok Business</t>
        </is>
      </c>
      <c r="H12" s="63" t="inlineStr"/>
    </row>
    <row r="13">
      <c r="A13" s="63" t="inlineStr">
        <is>
          <t>Followers IG</t>
        </is>
      </c>
      <c r="B13" s="63" t="inlineStr">
        <is>
          <t>PEND</t>
        </is>
      </c>
      <c r="C13" s="63" t="inlineStr">
        <is>
          <t>PEND</t>
        </is>
      </c>
      <c r="D13" s="63" t="inlineStr">
        <is>
          <t>PEND</t>
        </is>
      </c>
      <c r="E13" s="63" t="inlineStr">
        <is>
          <t>PEND</t>
        </is>
      </c>
      <c r="F13" s="63" t="inlineStr">
        <is>
          <t>PEND</t>
        </is>
      </c>
      <c r="G13" s="63" t="inlineStr">
        <is>
          <t>IG</t>
        </is>
      </c>
      <c r="H13" s="63" t="inlineStr"/>
    </row>
    <row r="14">
      <c r="A14" s="63" t="inlineStr">
        <is>
          <t>Engagement Rate</t>
        </is>
      </c>
      <c r="B14" s="63" t="inlineStr">
        <is>
          <t>PEND</t>
        </is>
      </c>
      <c r="C14" s="63" t="inlineStr">
        <is>
          <t>PEND</t>
        </is>
      </c>
      <c r="D14" s="63" t="inlineStr">
        <is>
          <t>PEND</t>
        </is>
      </c>
      <c r="E14" s="63" t="inlineStr">
        <is>
          <t>PEND</t>
        </is>
      </c>
      <c r="F14" s="63" t="inlineStr">
        <is>
          <t>PEND</t>
        </is>
      </c>
      <c r="G14" s="63" t="inlineStr">
        <is>
          <t>Meta</t>
        </is>
      </c>
      <c r="H14" s="63" t="inlineStr">
        <is>
          <t>Likes+Com+Sav+Sh/Alcance</t>
        </is>
      </c>
    </row>
    <row r="15">
      <c r="A15" s="63" t="inlineStr">
        <is>
          <t>Posts publicados</t>
        </is>
      </c>
      <c r="B15" s="63" t="inlineStr">
        <is>
          <t>PEND</t>
        </is>
      </c>
      <c r="C15" s="63" t="inlineStr">
        <is>
          <t>PEND</t>
        </is>
      </c>
      <c r="D15" s="63" t="inlineStr">
        <is>
          <t>PEND</t>
        </is>
      </c>
      <c r="E15" s="63" t="inlineStr">
        <is>
          <t>PEND</t>
        </is>
      </c>
      <c r="F15" s="63" t="inlineStr">
        <is>
          <t>PEND</t>
        </is>
      </c>
      <c r="G15" s="63" t="inlineStr">
        <is>
          <t>MATRIZ DE CONTENIDOS</t>
        </is>
      </c>
      <c r="H15" s="63" t="inlineStr"/>
    </row>
    <row r="16">
      <c r="A16" s="69" t="inlineStr">
        <is>
          <t>— PAID MEDIA —</t>
        </is>
      </c>
      <c r="B16" s="66" t="inlineStr"/>
      <c r="C16" s="66" t="inlineStr"/>
      <c r="D16" s="66" t="inlineStr"/>
      <c r="E16" s="66" t="inlineStr"/>
      <c r="F16" s="66" t="inlineStr"/>
      <c r="G16" s="66" t="inlineStr"/>
      <c r="H16" s="66" t="inlineStr"/>
    </row>
    <row r="17">
      <c r="A17" s="63" t="inlineStr">
        <is>
          <t>Inversión Meta Ads (S/)</t>
        </is>
      </c>
      <c r="B17" s="63" t="n">
        <v>3635</v>
      </c>
      <c r="C17" s="63" t="n">
        <v>4153</v>
      </c>
      <c r="D17" s="63" t="n">
        <v>5381</v>
      </c>
      <c r="E17" s="63" t="n">
        <v>6125</v>
      </c>
      <c r="F17" s="63" t="inlineStr">
        <is>
          <t>PEND</t>
        </is>
      </c>
      <c r="G17" s="63" t="inlineStr">
        <is>
          <t>MKT - GASTOS TC 2026</t>
        </is>
      </c>
      <c r="H17" s="63" t="inlineStr">
        <is>
          <t>Cord+ADN+Tam+MyP</t>
        </is>
      </c>
    </row>
    <row r="18">
      <c r="A18" s="63" t="inlineStr">
        <is>
          <t>Inversión Google Ads (S/)</t>
        </is>
      </c>
      <c r="B18" s="63" t="inlineStr">
        <is>
          <t>PEND</t>
        </is>
      </c>
      <c r="C18" s="63" t="inlineStr">
        <is>
          <t>PEND</t>
        </is>
      </c>
      <c r="D18" s="63" t="inlineStr">
        <is>
          <t>PEND</t>
        </is>
      </c>
      <c r="E18" s="63" t="inlineStr">
        <is>
          <t>PEND</t>
        </is>
      </c>
      <c r="F18" s="63" t="inlineStr">
        <is>
          <t>PEND</t>
        </is>
      </c>
      <c r="G18" s="63" t="inlineStr">
        <is>
          <t>MKT - GASTOS TC 2026</t>
        </is>
      </c>
      <c r="H18" s="63" t="inlineStr"/>
    </row>
    <row r="19">
      <c r="A19" s="63" t="inlineStr">
        <is>
          <t>Impresiones paid</t>
        </is>
      </c>
      <c r="B19" s="63" t="inlineStr">
        <is>
          <t>PEND</t>
        </is>
      </c>
      <c r="C19" s="63" t="inlineStr">
        <is>
          <t>PEND</t>
        </is>
      </c>
      <c r="D19" s="63" t="inlineStr">
        <is>
          <t>PEND</t>
        </is>
      </c>
      <c r="E19" s="63" t="inlineStr">
        <is>
          <t>PEND</t>
        </is>
      </c>
      <c r="F19" s="63" t="inlineStr">
        <is>
          <t>PEND</t>
        </is>
      </c>
      <c r="G19" s="63" t="inlineStr">
        <is>
          <t>Meta + Google Ads</t>
        </is>
      </c>
      <c r="H19" s="63" t="inlineStr"/>
    </row>
    <row r="20">
      <c r="A20" s="63" t="inlineStr">
        <is>
          <t>CTR paid blended</t>
        </is>
      </c>
      <c r="B20" s="63" t="inlineStr">
        <is>
          <t>PEND</t>
        </is>
      </c>
      <c r="C20" s="63" t="inlineStr">
        <is>
          <t>PEND</t>
        </is>
      </c>
      <c r="D20" s="63" t="inlineStr">
        <is>
          <t>PEND</t>
        </is>
      </c>
      <c r="E20" s="63" t="inlineStr">
        <is>
          <t>PEND</t>
        </is>
      </c>
      <c r="F20" s="63" t="inlineStr">
        <is>
          <t>PEND</t>
        </is>
      </c>
      <c r="G20" s="63" t="inlineStr">
        <is>
          <t>Meta + Google Ads</t>
        </is>
      </c>
      <c r="H20" s="63" t="inlineStr"/>
    </row>
    <row r="21">
      <c r="A21" s="63" t="inlineStr">
        <is>
          <t>CPL paid blended</t>
        </is>
      </c>
      <c r="B21" s="63" t="inlineStr">
        <is>
          <t>PEND</t>
        </is>
      </c>
      <c r="C21" s="63" t="inlineStr">
        <is>
          <t>PEND</t>
        </is>
      </c>
      <c r="D21" s="63" t="inlineStr">
        <is>
          <t>PEND</t>
        </is>
      </c>
      <c r="E21" s="63" t="inlineStr">
        <is>
          <t>PEND</t>
        </is>
      </c>
      <c r="F21" s="63" t="inlineStr">
        <is>
          <t>PEND</t>
        </is>
      </c>
      <c r="G21" s="63" t="inlineStr">
        <is>
          <t>Inv/Leads</t>
        </is>
      </c>
      <c r="H21" s="63" t="inlineStr"/>
    </row>
    <row r="22">
      <c r="A22" s="69" t="inlineStr">
        <is>
          <t>— SEO —</t>
        </is>
      </c>
      <c r="B22" s="66" t="inlineStr"/>
      <c r="C22" s="66" t="inlineStr"/>
      <c r="D22" s="66" t="inlineStr"/>
      <c r="E22" s="66" t="inlineStr"/>
      <c r="F22" s="66" t="inlineStr"/>
      <c r="G22" s="66" t="inlineStr"/>
      <c r="H22" s="66" t="inlineStr"/>
    </row>
    <row r="23">
      <c r="A23" s="63" t="inlineStr">
        <is>
          <t>Posición media keywords</t>
        </is>
      </c>
      <c r="B23" s="63" t="inlineStr">
        <is>
          <t>PEND</t>
        </is>
      </c>
      <c r="C23" s="63" t="inlineStr">
        <is>
          <t>PEND</t>
        </is>
      </c>
      <c r="D23" s="63" t="inlineStr">
        <is>
          <t>PEND</t>
        </is>
      </c>
      <c r="E23" s="63" t="inlineStr">
        <is>
          <t>PEND</t>
        </is>
      </c>
      <c r="F23" s="63" t="inlineStr">
        <is>
          <t>PEND</t>
        </is>
      </c>
      <c r="G23" s="63" t="inlineStr">
        <is>
          <t>Search Console / Ahrefs</t>
        </is>
      </c>
      <c r="H23" s="63" t="inlineStr"/>
    </row>
    <row r="24">
      <c r="A24" s="63" t="inlineStr">
        <is>
          <t>Tráfico orgánico</t>
        </is>
      </c>
      <c r="B24" s="63" t="inlineStr">
        <is>
          <t>PEND</t>
        </is>
      </c>
      <c r="C24" s="63" t="inlineStr">
        <is>
          <t>PEND</t>
        </is>
      </c>
      <c r="D24" s="63" t="inlineStr">
        <is>
          <t>PEND</t>
        </is>
      </c>
      <c r="E24" s="63" t="inlineStr">
        <is>
          <t>PEND</t>
        </is>
      </c>
      <c r="F24" s="63" t="inlineStr">
        <is>
          <t>PEND</t>
        </is>
      </c>
      <c r="G24" s="63" t="inlineStr">
        <is>
          <t>GA4 source=organic</t>
        </is>
      </c>
      <c r="H24" s="63" t="inlineStr"/>
    </row>
    <row r="25">
      <c r="A25" s="69" t="inlineStr">
        <is>
          <t>— EMAIL / WATI —</t>
        </is>
      </c>
      <c r="B25" s="66" t="inlineStr"/>
      <c r="C25" s="66" t="inlineStr"/>
      <c r="D25" s="66" t="inlineStr"/>
      <c r="E25" s="66" t="inlineStr"/>
      <c r="F25" s="66" t="inlineStr"/>
      <c r="G25" s="66" t="inlineStr"/>
      <c r="H25" s="66" t="inlineStr"/>
    </row>
    <row r="26">
      <c r="A26" s="63" t="inlineStr">
        <is>
          <t>Emails enviados Brevo</t>
        </is>
      </c>
      <c r="B26" s="63" t="inlineStr">
        <is>
          <t>PEND</t>
        </is>
      </c>
      <c r="C26" s="63" t="inlineStr">
        <is>
          <t>PEND</t>
        </is>
      </c>
      <c r="D26" s="63" t="inlineStr">
        <is>
          <t>PEND</t>
        </is>
      </c>
      <c r="E26" s="63" t="inlineStr">
        <is>
          <t>PEND</t>
        </is>
      </c>
      <c r="F26" s="63" t="inlineStr">
        <is>
          <t>PEND</t>
        </is>
      </c>
      <c r="G26" s="63" t="inlineStr">
        <is>
          <t>Brevo</t>
        </is>
      </c>
      <c r="H26" s="63" t="inlineStr"/>
    </row>
    <row r="27">
      <c r="A27" s="63" t="inlineStr">
        <is>
          <t>Open Rate</t>
        </is>
      </c>
      <c r="B27" s="63" t="inlineStr">
        <is>
          <t>PEND</t>
        </is>
      </c>
      <c r="C27" s="63" t="inlineStr">
        <is>
          <t>PEND</t>
        </is>
      </c>
      <c r="D27" s="63" t="inlineStr">
        <is>
          <t>PEND</t>
        </is>
      </c>
      <c r="E27" s="63" t="inlineStr">
        <is>
          <t>PEND</t>
        </is>
      </c>
      <c r="F27" s="63" t="inlineStr">
        <is>
          <t>PEND</t>
        </is>
      </c>
      <c r="G27" s="63" t="inlineStr">
        <is>
          <t>Brevo</t>
        </is>
      </c>
      <c r="H27" s="63" t="inlineStr"/>
    </row>
    <row r="28">
      <c r="A28" s="63" t="inlineStr">
        <is>
          <t>CTR Email</t>
        </is>
      </c>
      <c r="B28" s="63" t="inlineStr">
        <is>
          <t>PEND</t>
        </is>
      </c>
      <c r="C28" s="63" t="inlineStr">
        <is>
          <t>PEND</t>
        </is>
      </c>
      <c r="D28" s="63" t="inlineStr">
        <is>
          <t>PEND</t>
        </is>
      </c>
      <c r="E28" s="63" t="inlineStr">
        <is>
          <t>PEND</t>
        </is>
      </c>
      <c r="F28" s="63" t="inlineStr">
        <is>
          <t>PEND</t>
        </is>
      </c>
      <c r="G28" s="63" t="inlineStr">
        <is>
          <t>Brevo</t>
        </is>
      </c>
      <c r="H28" s="63" t="inlineStr"/>
    </row>
    <row r="29">
      <c r="A29" s="63" t="inlineStr">
        <is>
          <t>Mensajes WATI</t>
        </is>
      </c>
      <c r="B29" s="63" t="inlineStr">
        <is>
          <t>PEND</t>
        </is>
      </c>
      <c r="C29" s="63" t="inlineStr">
        <is>
          <t>PEND</t>
        </is>
      </c>
      <c r="D29" s="63" t="inlineStr">
        <is>
          <t>PEND</t>
        </is>
      </c>
      <c r="E29" s="63" t="inlineStr">
        <is>
          <t>PEND</t>
        </is>
      </c>
      <c r="F29" s="63" t="inlineStr">
        <is>
          <t>PEND</t>
        </is>
      </c>
      <c r="G29" s="63" t="inlineStr">
        <is>
          <t>WATI</t>
        </is>
      </c>
      <c r="H29" s="63" t="inlineStr"/>
    </row>
    <row r="32">
      <c r="A32" s="64" t="inlineStr">
        <is>
          <t>* MAY corte parcial. Mayoría externas PENDIENTES — requieren conectores.</t>
        </is>
      </c>
    </row>
    <row r="33">
      <c r="A33" s="64" t="inlineStr">
        <is>
          <t>Recomendado: Looker Studio para conectar GA4 + Google Ads + Meta (CSV o Supermetrics).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2" customWidth="1" min="4" max="4"/>
    <col width="38" customWidth="1" min="5" max="5"/>
    <col width="30" customWidth="1" min="6" max="6"/>
  </cols>
  <sheetData>
    <row r="1">
      <c r="A1" s="60" t="inlineStr">
        <is>
          <t>EQUIPO COMERCIAL CRIOCORD 2026 — Estructura y KPIs por rol</t>
        </is>
      </c>
    </row>
    <row r="2">
      <c r="A2" s="61" t="inlineStr">
        <is>
          <t>Visitadores Médicos = CAPTACIÓN  |  Asesores Comerciales = cierre de venta</t>
        </is>
      </c>
    </row>
    <row r="4">
      <c r="A4" s="65" t="inlineStr">
        <is>
          <t>VISITADORES MÉDICOS — Captación</t>
        </is>
      </c>
    </row>
    <row r="5">
      <c r="A5" s="62" t="inlineStr">
        <is>
          <t>Nombre</t>
        </is>
      </c>
      <c r="B5" s="62" t="inlineStr">
        <is>
          <t>Ciudad</t>
        </is>
      </c>
      <c r="C5" s="62" t="inlineStr">
        <is>
          <t>Estado</t>
        </is>
      </c>
      <c r="D5" s="62" t="inlineStr">
        <is>
          <t>Rol</t>
        </is>
      </c>
      <c r="E5" s="62" t="inlineStr">
        <is>
          <t>KPIs principales</t>
        </is>
      </c>
      <c r="F5" s="62" t="inlineStr">
        <is>
          <t>Fuente / Notas</t>
        </is>
      </c>
    </row>
    <row r="6">
      <c r="A6" s="63" t="inlineStr">
        <is>
          <t>Milagros Herrera</t>
        </is>
      </c>
      <c r="B6" s="63" t="inlineStr">
        <is>
          <t>Lima</t>
        </is>
      </c>
      <c r="C6" s="63" t="inlineStr">
        <is>
          <t>ACTIVO</t>
        </is>
      </c>
      <c r="D6" s="63" t="inlineStr">
        <is>
          <t>Visita médica Lima</t>
        </is>
      </c>
      <c r="E6" s="63" t="inlineStr">
        <is>
          <t># Prospectos captados, # Visitas (Sec/Med/Obs), %Avance vs Target, % Paso a asesor</t>
        </is>
      </c>
      <c r="F6" s="63" t="inlineStr">
        <is>
          <t>PROSPECCION 2026 col MILAGROS</t>
        </is>
      </c>
    </row>
    <row r="7">
      <c r="A7" s="63" t="inlineStr">
        <is>
          <t>Marilyn</t>
        </is>
      </c>
      <c r="B7" s="63" t="inlineStr">
        <is>
          <t>Lima</t>
        </is>
      </c>
      <c r="C7" s="63" t="inlineStr">
        <is>
          <t>ACTIVO</t>
        </is>
      </c>
      <c r="D7" s="63" t="inlineStr">
        <is>
          <t>Visita médica Lima</t>
        </is>
      </c>
      <c r="E7" s="63" t="inlineStr">
        <is>
          <t># Prospectos captados, # Visitas, %Avance, % Paso a asesor</t>
        </is>
      </c>
      <c r="F7" s="63" t="inlineStr">
        <is>
          <t>PROSPECCION 2026 col MARYLIN</t>
        </is>
      </c>
    </row>
    <row r="8">
      <c r="A8" s="63" t="inlineStr">
        <is>
          <t>Velia</t>
        </is>
      </c>
      <c r="B8" s="63" t="inlineStr">
        <is>
          <t>Arequipa</t>
        </is>
      </c>
      <c r="C8" s="63" t="inlineStr">
        <is>
          <t>ACTIVO</t>
        </is>
      </c>
      <c r="D8" s="63" t="inlineStr">
        <is>
          <t>Visita médica Provincia AQP</t>
        </is>
      </c>
      <c r="E8" s="63" t="inlineStr">
        <is>
          <t># Prospectos captados, # Visitas, %Avance, Cobertura clínicas AQP</t>
        </is>
      </c>
      <c r="F8" s="63" t="inlineStr">
        <is>
          <t>PROSPECCION 2026 col VELIA</t>
        </is>
      </c>
    </row>
    <row r="9">
      <c r="A9" s="70" t="inlineStr">
        <is>
          <t>Diana</t>
        </is>
      </c>
      <c r="B9" s="70" t="inlineStr">
        <is>
          <t>Lima (TBD)</t>
        </is>
      </c>
      <c r="C9" s="70" t="inlineStr">
        <is>
          <t>PRÓXIMAMENTE</t>
        </is>
      </c>
      <c r="D9" s="70" t="inlineStr">
        <is>
          <t>Visita médica Lima (placeholder)</t>
        </is>
      </c>
      <c r="E9" s="70" t="inlineStr">
        <is>
          <t>Activar al ingreso al equipo</t>
        </is>
      </c>
      <c r="F9" s="70" t="inlineStr">
        <is>
          <t>Placeholder</t>
        </is>
      </c>
    </row>
    <row r="11">
      <c r="A11" s="65" t="inlineStr">
        <is>
          <t>ASESORES COMERCIALES — Cierre de venta</t>
        </is>
      </c>
    </row>
    <row r="12">
      <c r="A12" s="62" t="inlineStr">
        <is>
          <t>Nombre</t>
        </is>
      </c>
      <c r="B12" s="62" t="inlineStr">
        <is>
          <t>Ciudad</t>
        </is>
      </c>
      <c r="C12" s="62" t="inlineStr">
        <is>
          <t>Estado</t>
        </is>
      </c>
      <c r="D12" s="62" t="inlineStr">
        <is>
          <t>Rol</t>
        </is>
      </c>
      <c r="E12" s="62" t="inlineStr">
        <is>
          <t>KPIs principales</t>
        </is>
      </c>
      <c r="F12" s="62" t="inlineStr">
        <is>
          <t>Fuente / Notas</t>
        </is>
      </c>
    </row>
    <row r="13">
      <c r="A13" s="63" t="inlineStr">
        <is>
          <t>SKN Heinrich</t>
        </is>
      </c>
      <c r="B13" s="63" t="inlineStr">
        <is>
          <t>Lima</t>
        </is>
      </c>
      <c r="C13" s="63" t="inlineStr">
        <is>
          <t>ACTIVO</t>
        </is>
      </c>
      <c r="D13" s="63" t="inlineStr">
        <is>
          <t>Asesor comercial</t>
        </is>
      </c>
      <c r="E13" s="63" t="inlineStr">
        <is>
          <t># Citas, % Tasa de cierre, Ticket promedio, Servicios cerrados, Ingresos generados</t>
        </is>
      </c>
      <c r="F13" s="63" t="inlineStr">
        <is>
          <t>PROSPECCION 2026 col HEINRRICH</t>
        </is>
      </c>
    </row>
    <row r="14">
      <c r="A14" s="63" t="inlineStr">
        <is>
          <t>Adler</t>
        </is>
      </c>
      <c r="B14" s="63" t="inlineStr">
        <is>
          <t>Lima</t>
        </is>
      </c>
      <c r="C14" s="63" t="inlineStr">
        <is>
          <t>ACTIVO desde MAY-26</t>
        </is>
      </c>
      <c r="D14" s="63" t="inlineStr">
        <is>
          <t>Asesor — recategorizado de VM</t>
        </is>
      </c>
      <c r="E14" s="63" t="inlineStr">
        <is>
          <t># Citas, % Tasa de cierre, Ticket promedio, Servicios cerrados, Ingresos</t>
        </is>
      </c>
      <c r="F14" s="63" t="inlineStr">
        <is>
          <t>PROSPECCION 2026 col ADLER (FFVV)</t>
        </is>
      </c>
    </row>
    <row r="15">
      <c r="A15" s="63" t="inlineStr">
        <is>
          <t>Liseth</t>
        </is>
      </c>
      <c r="B15" s="63" t="inlineStr">
        <is>
          <t>Lima</t>
        </is>
      </c>
      <c r="C15" s="63" t="inlineStr">
        <is>
          <t>ACTIVO</t>
        </is>
      </c>
      <c r="D15" s="63" t="inlineStr">
        <is>
          <t>Asesor comercial</t>
        </is>
      </c>
      <c r="E15" s="63" t="inlineStr">
        <is>
          <t># Citas, % Tasa de cierre, Ticket promedio, Servicios cerrados, Ingresos</t>
        </is>
      </c>
      <c r="F15" s="63" t="inlineStr">
        <is>
          <t>PROSPECCION 2026 col LISETH</t>
        </is>
      </c>
    </row>
    <row r="16">
      <c r="A16" s="63" t="inlineStr">
        <is>
          <t>Carolina</t>
        </is>
      </c>
      <c r="B16" s="63" t="inlineStr">
        <is>
          <t>Lima</t>
        </is>
      </c>
      <c r="C16" s="63" t="inlineStr">
        <is>
          <t>ACTIVO</t>
        </is>
      </c>
      <c r="D16" s="63" t="inlineStr">
        <is>
          <t>Asesor comercial</t>
        </is>
      </c>
      <c r="E16" s="63" t="inlineStr">
        <is>
          <t># Citas, % Tasa de cierre, Ticket promedio, Servicios cerrados, Ingresos</t>
        </is>
      </c>
      <c r="F16" s="63" t="inlineStr">
        <is>
          <t>PROSPECCION 2026 col CAROLINA</t>
        </is>
      </c>
    </row>
    <row r="18">
      <c r="A18" s="65" t="inlineStr">
        <is>
          <t>PERFORMANCE MAYO 2026 (corte 18/05)</t>
        </is>
      </c>
    </row>
    <row r="19">
      <c r="A19" s="62" t="inlineStr">
        <is>
          <t>Persona</t>
        </is>
      </c>
      <c r="B19" s="62" t="inlineStr">
        <is>
          <t>Rol</t>
        </is>
      </c>
      <c r="C19" s="62" t="inlineStr">
        <is>
          <t>Prospectos Captados</t>
        </is>
      </c>
      <c r="D19" s="62" t="inlineStr">
        <is>
          <t>Servicios Cerrados</t>
        </is>
      </c>
      <c r="E19" s="62" t="inlineStr">
        <is>
          <t>Mix Cord/Tam/ADN/MyP (+Seg)</t>
        </is>
      </c>
      <c r="F19" s="62" t="inlineStr">
        <is>
          <t>% Conversión est.</t>
        </is>
      </c>
    </row>
    <row r="20">
      <c r="A20" s="63" t="inlineStr">
        <is>
          <t>Milagros Herrera</t>
        </is>
      </c>
      <c r="B20" s="63" t="inlineStr">
        <is>
          <t>Visitador Médico</t>
        </is>
      </c>
      <c r="C20" s="63" t="n">
        <v>158</v>
      </c>
      <c r="D20" s="63" t="inlineStr">
        <is>
          <t>—</t>
        </is>
      </c>
      <c r="E20" s="63" t="inlineStr">
        <is>
          <t>—</t>
        </is>
      </c>
      <c r="F20" s="63" t="inlineStr">
        <is>
          <t>—</t>
        </is>
      </c>
    </row>
    <row r="21">
      <c r="A21" s="63" t="inlineStr">
        <is>
          <t>Marilyn</t>
        </is>
      </c>
      <c r="B21" s="63" t="inlineStr">
        <is>
          <t>Visitador Médico</t>
        </is>
      </c>
      <c r="C21" s="63" t="n">
        <v>142</v>
      </c>
      <c r="D21" s="63" t="inlineStr">
        <is>
          <t>—</t>
        </is>
      </c>
      <c r="E21" s="63" t="inlineStr">
        <is>
          <t>—</t>
        </is>
      </c>
      <c r="F21" s="63" t="inlineStr">
        <is>
          <t>—</t>
        </is>
      </c>
    </row>
    <row r="22">
      <c r="A22" s="63" t="inlineStr">
        <is>
          <t>Velia</t>
        </is>
      </c>
      <c r="B22" s="63" t="inlineStr">
        <is>
          <t>Visitador Médico</t>
        </is>
      </c>
      <c r="C22" s="63" t="n">
        <v>12</v>
      </c>
      <c r="D22" s="63" t="inlineStr">
        <is>
          <t>—</t>
        </is>
      </c>
      <c r="E22" s="63" t="inlineStr">
        <is>
          <t>—</t>
        </is>
      </c>
      <c r="F22" s="63" t="inlineStr">
        <is>
          <t>—</t>
        </is>
      </c>
    </row>
    <row r="23">
      <c r="A23" s="66" t="inlineStr">
        <is>
          <t>Subtotal Visitadores</t>
        </is>
      </c>
      <c r="B23" s="66" t="inlineStr"/>
      <c r="C23" s="66" t="n">
        <v>312</v>
      </c>
      <c r="D23" s="66" t="inlineStr">
        <is>
          <t>—</t>
        </is>
      </c>
      <c r="E23" s="66" t="inlineStr">
        <is>
          <t>—</t>
        </is>
      </c>
      <c r="F23" s="66" t="inlineStr">
        <is>
          <t>—</t>
        </is>
      </c>
    </row>
    <row r="24">
      <c r="A24" s="63" t="inlineStr">
        <is>
          <t>SKN Heinrich</t>
        </is>
      </c>
      <c r="B24" s="63" t="inlineStr">
        <is>
          <t>Asesor Comercial</t>
        </is>
      </c>
      <c r="C24" s="63" t="n">
        <v>226</v>
      </c>
      <c r="D24" s="63" t="n">
        <v>38</v>
      </c>
      <c r="E24" s="63" t="inlineStr">
        <is>
          <t>13/6/8/4 (+7)</t>
        </is>
      </c>
      <c r="F24" s="63" t="inlineStr">
        <is>
          <t>16.8%</t>
        </is>
      </c>
    </row>
    <row r="25">
      <c r="A25" s="63" t="inlineStr">
        <is>
          <t>Adler</t>
        </is>
      </c>
      <c r="B25" s="63" t="inlineStr">
        <is>
          <t>Asesor Comercial</t>
        </is>
      </c>
      <c r="C25" s="63" t="n">
        <v>159</v>
      </c>
      <c r="D25" s="63" t="n">
        <v>24</v>
      </c>
      <c r="E25" s="63" t="inlineStr">
        <is>
          <t>8/7/5/1 (+3)</t>
        </is>
      </c>
      <c r="F25" s="63" t="inlineStr">
        <is>
          <t>15.1%</t>
        </is>
      </c>
    </row>
    <row r="26">
      <c r="A26" s="63" t="inlineStr">
        <is>
          <t>Liseth</t>
        </is>
      </c>
      <c r="B26" s="63" t="inlineStr">
        <is>
          <t>Asesor Comercial</t>
        </is>
      </c>
      <c r="C26" s="63" t="n">
        <v>197</v>
      </c>
      <c r="D26" s="63" t="n">
        <v>32</v>
      </c>
      <c r="E26" s="63" t="inlineStr">
        <is>
          <t>13/7/2/3 (+7)</t>
        </is>
      </c>
      <c r="F26" s="63" t="inlineStr">
        <is>
          <t>16.2%</t>
        </is>
      </c>
    </row>
    <row r="27">
      <c r="A27" s="63" t="inlineStr">
        <is>
          <t>Carolina</t>
        </is>
      </c>
      <c r="B27" s="63" t="inlineStr">
        <is>
          <t>Asesor Comercial</t>
        </is>
      </c>
      <c r="C27" s="63" t="n">
        <v>135</v>
      </c>
      <c r="D27" s="63" t="n">
        <v>15</v>
      </c>
      <c r="E27" s="63" t="inlineStr">
        <is>
          <t>9/3/1/0 (+2)</t>
        </is>
      </c>
      <c r="F27" s="63" t="inlineStr">
        <is>
          <t>11.1%</t>
        </is>
      </c>
    </row>
    <row r="28">
      <c r="A28" s="66" t="inlineStr">
        <is>
          <t>Subtotal Asesores</t>
        </is>
      </c>
      <c r="B28" s="66" t="inlineStr"/>
      <c r="C28" s="66" t="n">
        <v>717</v>
      </c>
      <c r="D28" s="66" t="n">
        <v>109</v>
      </c>
      <c r="E28" s="66" t="inlineStr">
        <is>
          <t>43/23/16/8 (+19)</t>
        </is>
      </c>
      <c r="F28" s="66" t="inlineStr">
        <is>
          <t>15.2%</t>
        </is>
      </c>
    </row>
    <row r="29">
      <c r="A29" s="71" t="inlineStr">
        <is>
          <t>TOTAL EQUIPO COMERCIAL</t>
        </is>
      </c>
      <c r="B29" s="71" t="inlineStr"/>
      <c r="C29" s="71" t="n">
        <v>1029</v>
      </c>
      <c r="D29" s="71" t="n">
        <v>109</v>
      </c>
      <c r="E29" s="71" t="inlineStr"/>
      <c r="F29" s="71" t="inlineStr"/>
    </row>
    <row r="31">
      <c r="A31" s="67" t="inlineStr">
        <is>
          <t>Notas:</t>
        </is>
      </c>
    </row>
    <row r="32">
      <c r="A32" s="64" t="inlineStr">
        <is>
          <t>• MAYO 2026 corte parcial al 18/05 — datos completarán al cierre de mes.</t>
        </is>
      </c>
    </row>
    <row r="33">
      <c r="A33" s="64" t="inlineStr">
        <is>
          <t>• Visitadores no cierran venta — sus prospectos pasan al pool de asesores.</t>
        </is>
      </c>
    </row>
    <row r="34">
      <c r="A34" s="64" t="inlineStr">
        <is>
          <t>• Adler operó como visitador hasta ABRIL 2026; desde MAYO está en FFVV-Comercial.</t>
        </is>
      </c>
    </row>
    <row r="35">
      <c r="A35" s="64" t="inlineStr">
        <is>
          <t>• Diana se sumará como visitadora en Lima — fila placeholder activable.</t>
        </is>
      </c>
    </row>
    <row r="36">
      <c r="A36" s="64" t="inlineStr">
        <is>
          <t>• Fuente única de captación: SEGUIMIENTO PROSPECCION 2026.xlsx (link en hoja FUENTES).</t>
        </is>
      </c>
    </row>
  </sheetData>
  <mergeCells count="5">
    <mergeCell ref="A2:F2"/>
    <mergeCell ref="A11:F11"/>
    <mergeCell ref="A1:F1"/>
    <mergeCell ref="A18:F18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3B7A"/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2" customWidth="1" min="4" max="4"/>
    <col width="8" customWidth="1" min="5" max="5"/>
    <col width="12" customWidth="1" min="6" max="6"/>
    <col width="12" customWidth="1" min="7" max="7"/>
    <col width="10" customWidth="1" min="8" max="8"/>
    <col width="16" customWidth="1" min="9" max="9"/>
    <col width="10" customWidth="1" min="10" max="10"/>
    <col width="12" customWidth="1" min="11" max="11"/>
    <col width="28" customWidth="1" min="12" max="12"/>
    <col width="30" customWidth="1" min="13" max="13"/>
  </cols>
  <sheetData>
    <row r="1" ht="36" customHeight="1">
      <c r="A1" s="36" t="inlineStr">
        <is>
          <t>VISITA MÉDICA CRIOCORD — RESUMEN ABRIL 2026  |  Solo CrioCord  |  Sin datos financieros</t>
        </is>
      </c>
    </row>
    <row r="2" ht="18" customHeight="1">
      <c r="A2" s="37" t="inlineStr">
        <is>
          <t>Fuente: SEGUIMIENTO PROSPECCION 2026.xlsx — Corte 30/04/2026  |  Adler pasó a FFVV-Comercial en ABRIL</t>
        </is>
      </c>
    </row>
    <row r="3" ht="8" customHeight="1"/>
    <row r="4" ht="24" customHeight="1">
      <c r="A4" s="38" t="inlineStr">
        <is>
          <t>★  KPIs GLOBALES — VISITA MÉDICA ABRIL 2026</t>
        </is>
      </c>
    </row>
    <row r="5" ht="22" customHeight="1">
      <c r="A5" s="39" t="inlineStr">
        <is>
          <t>KPI</t>
        </is>
      </c>
      <c r="B5" s="39" t="inlineStr">
        <is>
          <t>Valor</t>
        </is>
      </c>
      <c r="C5" s="39" t="inlineStr">
        <is>
          <t>Unidad</t>
        </is>
      </c>
      <c r="D5" s="39" t="inlineStr">
        <is>
          <t>Nota / Fuente</t>
        </is>
      </c>
      <c r="E5" s="40" t="inlineStr"/>
      <c r="F5" s="40" t="inlineStr"/>
      <c r="G5" s="40" t="inlineStr"/>
      <c r="H5" s="40" t="inlineStr"/>
      <c r="I5" s="40" t="inlineStr"/>
      <c r="J5" s="40" t="inlineStr"/>
      <c r="K5" s="40" t="inlineStr"/>
      <c r="L5" s="40" t="inlineStr"/>
      <c r="M5" s="40" t="inlineStr"/>
    </row>
    <row r="6" ht="18" customHeight="1">
      <c r="A6" s="52" t="inlineStr">
        <is>
          <t>Representantes activos VM (CrioCord)</t>
        </is>
      </c>
      <c r="B6" s="53" t="inlineStr">
        <is>
          <t>3</t>
        </is>
      </c>
      <c r="C6" s="53" t="inlineStr">
        <is>
          <t>Reps</t>
        </is>
      </c>
      <c r="D6" s="43" t="inlineStr">
        <is>
          <t>Milagros, Marylin, Velia — Adler en FFVV-Comercial</t>
        </is>
      </c>
      <c r="E6" s="57" t="inlineStr"/>
      <c r="F6" s="57" t="inlineStr"/>
      <c r="G6" s="57" t="inlineStr"/>
      <c r="H6" s="57" t="inlineStr"/>
      <c r="I6" s="57" t="inlineStr"/>
      <c r="J6" s="57" t="inlineStr"/>
      <c r="K6" s="57" t="inlineStr"/>
      <c r="L6" s="57" t="inlineStr"/>
      <c r="M6" s="57" t="inlineStr"/>
    </row>
    <row r="7" ht="18" customHeight="1">
      <c r="A7" s="54" t="inlineStr">
        <is>
          <t>Total Visitas (Sec+Med+Obs)</t>
        </is>
      </c>
      <c r="B7" s="55" t="inlineStr">
        <is>
          <t>413</t>
        </is>
      </c>
      <c r="C7" s="55" t="inlineStr">
        <is>
          <t>visitas</t>
        </is>
      </c>
      <c r="D7" s="47" t="inlineStr">
        <is>
          <t>33 Sec + 346 Med + 34 Obs  |  Corte 30/04</t>
        </is>
      </c>
      <c r="E7" s="58" t="inlineStr"/>
      <c r="F7" s="58" t="inlineStr"/>
      <c r="G7" s="58" t="inlineStr"/>
      <c r="H7" s="58" t="inlineStr"/>
      <c r="I7" s="58" t="inlineStr"/>
      <c r="J7" s="58" t="inlineStr"/>
      <c r="K7" s="58" t="inlineStr"/>
      <c r="L7" s="58" t="inlineStr"/>
      <c r="M7" s="58" t="inlineStr"/>
    </row>
    <row r="8" ht="18" customHeight="1">
      <c r="A8" s="52" t="inlineStr">
        <is>
          <t>Mix % Secretaria / Médicos / Obstetras</t>
        </is>
      </c>
      <c r="B8" s="53" t="inlineStr">
        <is>
          <t>8% / 84% / 8%</t>
        </is>
      </c>
      <c r="C8" s="53" t="inlineStr">
        <is>
          <t>%</t>
        </is>
      </c>
      <c r="D8" s="43" t="inlineStr">
        <is>
          <t>Sec=33, Med=346, Obs=34</t>
        </is>
      </c>
      <c r="E8" s="57" t="inlineStr"/>
      <c r="F8" s="57" t="inlineStr"/>
      <c r="G8" s="57" t="inlineStr"/>
      <c r="H8" s="57" t="inlineStr"/>
      <c r="I8" s="57" t="inlineStr"/>
      <c r="J8" s="57" t="inlineStr"/>
      <c r="K8" s="57" t="inlineStr"/>
      <c r="L8" s="57" t="inlineStr"/>
      <c r="M8" s="57" t="inlineStr"/>
    </row>
    <row r="9" ht="18" customHeight="1">
      <c r="A9" s="54" t="inlineStr">
        <is>
          <t>Leads Originados Visitadores</t>
        </is>
      </c>
      <c r="B9" s="55" t="inlineStr">
        <is>
          <t>885</t>
        </is>
      </c>
      <c r="C9" s="55" t="inlineStr">
        <is>
          <t>prospectos</t>
        </is>
      </c>
      <c r="D9" s="47" t="inlineStr">
        <is>
          <t>Milagros 403 + Marylin 267 + Velia 215 — Ingresados canal VM ABR</t>
        </is>
      </c>
      <c r="E9" s="58" t="inlineStr"/>
      <c r="F9" s="58" t="inlineStr"/>
      <c r="G9" s="58" t="inlineStr"/>
      <c r="H9" s="58" t="inlineStr"/>
      <c r="I9" s="58" t="inlineStr"/>
      <c r="J9" s="58" t="inlineStr"/>
      <c r="K9" s="58" t="inlineStr"/>
      <c r="L9" s="58" t="inlineStr"/>
      <c r="M9" s="58" t="inlineStr"/>
    </row>
    <row r="10" ht="18" customHeight="1">
      <c r="A10" s="52" t="inlineStr">
        <is>
          <t>% Validación Canal VM (est.)</t>
        </is>
      </c>
      <c r="B10" s="53" t="inlineStr">
        <is>
          <t>PENDIENTE</t>
        </is>
      </c>
      <c r="C10" s="53" t="inlineStr">
        <is>
          <t>%</t>
        </is>
      </c>
      <c r="D10" s="43" t="inlineStr">
        <is>
          <t>PENDIENTE — cruzar con prospeccion filtro VM</t>
        </is>
      </c>
      <c r="E10" s="57" t="inlineStr"/>
      <c r="F10" s="57" t="inlineStr"/>
      <c r="G10" s="57" t="inlineStr"/>
      <c r="H10" s="57" t="inlineStr"/>
      <c r="I10" s="57" t="inlineStr"/>
      <c r="J10" s="57" t="inlineStr"/>
      <c r="K10" s="57" t="inlineStr"/>
      <c r="L10" s="57" t="inlineStr"/>
      <c r="M10" s="57" t="inlineStr"/>
    </row>
    <row r="11" ht="18" customHeight="1">
      <c r="A11" s="54" t="inlineStr">
        <is>
          <t>Servicios Cerrados Canal VM</t>
        </is>
      </c>
      <c r="B11" s="55" t="inlineStr">
        <is>
          <t>PENDIENTE</t>
        </is>
      </c>
      <c r="C11" s="55" t="inlineStr">
        <is>
          <t>servicios</t>
        </is>
      </c>
      <c r="D11" s="47" t="inlineStr">
        <is>
          <t>PENDIENTE — cruzar col MKT CRIO ABR VM</t>
        </is>
      </c>
      <c r="E11" s="58" t="inlineStr"/>
      <c r="F11" s="58" t="inlineStr"/>
      <c r="G11" s="58" t="inlineStr"/>
      <c r="H11" s="58" t="inlineStr"/>
      <c r="I11" s="58" t="inlineStr"/>
      <c r="J11" s="58" t="inlineStr"/>
      <c r="K11" s="58" t="inlineStr"/>
      <c r="L11" s="58" t="inlineStr"/>
      <c r="M11" s="58" t="inlineStr"/>
    </row>
    <row r="12" ht="18" customHeight="1">
      <c r="A12" s="52" t="inlineStr">
        <is>
          <t>Productividad por Visita VM</t>
        </is>
      </c>
      <c r="B12" s="53" t="inlineStr">
        <is>
          <t>PENDIENTE</t>
        </is>
      </c>
      <c r="C12" s="53" t="inlineStr">
        <is>
          <t>serv/visita</t>
        </is>
      </c>
      <c r="D12" s="43">
        <f>Servicios_VM / Visitas_VM</f>
        <v/>
      </c>
      <c r="E12" s="57" t="inlineStr"/>
      <c r="F12" s="57" t="inlineStr"/>
      <c r="G12" s="57" t="inlineStr"/>
      <c r="H12" s="57" t="inlineStr"/>
      <c r="I12" s="57" t="inlineStr"/>
      <c r="J12" s="57" t="inlineStr"/>
      <c r="K12" s="57" t="inlineStr"/>
      <c r="L12" s="57" t="inlineStr"/>
      <c r="M12" s="57" t="inlineStr"/>
    </row>
    <row r="13" ht="18" customHeight="1">
      <c r="A13" s="54" t="inlineStr">
        <is>
          <t>Top Clínica Lima (Milagros)</t>
        </is>
      </c>
      <c r="B13" s="55" t="inlineStr">
        <is>
          <t>Clínica Delgado (28)</t>
        </is>
      </c>
      <c r="C13" s="55" t="inlineStr">
        <is>
          <t>visitas</t>
        </is>
      </c>
      <c r="D13" s="47" t="inlineStr">
        <is>
          <t>Fuente: PROSPECCION ABR corte 30/04</t>
        </is>
      </c>
      <c r="E13" s="58" t="inlineStr"/>
      <c r="F13" s="58" t="inlineStr"/>
      <c r="G13" s="58" t="inlineStr"/>
      <c r="H13" s="58" t="inlineStr"/>
      <c r="I13" s="58" t="inlineStr"/>
      <c r="J13" s="58" t="inlineStr"/>
      <c r="K13" s="58" t="inlineStr"/>
      <c r="L13" s="58" t="inlineStr"/>
      <c r="M13" s="58" t="inlineStr"/>
    </row>
    <row r="14" ht="18" customHeight="1">
      <c r="A14" s="52" t="inlineStr">
        <is>
          <t>Top Clínica Lima (Marylin)</t>
        </is>
      </c>
      <c r="B14" s="53" t="inlineStr">
        <is>
          <t>Cl. Internacional San Borja (27)</t>
        </is>
      </c>
      <c r="C14" s="53" t="inlineStr">
        <is>
          <t>visitas</t>
        </is>
      </c>
      <c r="D14" s="43" t="inlineStr">
        <is>
          <t>Fuente: PROSPECCION ABR corte 30/04</t>
        </is>
      </c>
      <c r="E14" s="57" t="inlineStr"/>
      <c r="F14" s="57" t="inlineStr"/>
      <c r="G14" s="57" t="inlineStr"/>
      <c r="H14" s="57" t="inlineStr"/>
      <c r="I14" s="57" t="inlineStr"/>
      <c r="J14" s="57" t="inlineStr"/>
      <c r="K14" s="57" t="inlineStr"/>
      <c r="L14" s="57" t="inlineStr"/>
      <c r="M14" s="57" t="inlineStr"/>
    </row>
    <row r="15" ht="18" customHeight="1">
      <c r="A15" s="54" t="inlineStr">
        <is>
          <t>Top Clínica AQP (Velia)</t>
        </is>
      </c>
      <c r="B15" s="55" t="inlineStr">
        <is>
          <t>Pol. EsSalud Yanahuara (13)</t>
        </is>
      </c>
      <c r="C15" s="55" t="inlineStr">
        <is>
          <t>visitas</t>
        </is>
      </c>
      <c r="D15" s="47" t="inlineStr">
        <is>
          <t>Fuente: PROSPECCION ABR corte 30/04</t>
        </is>
      </c>
      <c r="E15" s="58" t="inlineStr"/>
      <c r="F15" s="58" t="inlineStr"/>
      <c r="G15" s="58" t="inlineStr"/>
      <c r="H15" s="58" t="inlineStr"/>
      <c r="I15" s="58" t="inlineStr"/>
      <c r="J15" s="58" t="inlineStr"/>
      <c r="K15" s="58" t="inlineStr"/>
      <c r="L15" s="58" t="inlineStr"/>
      <c r="M15" s="58" t="inlineStr"/>
    </row>
    <row r="16" ht="10" customHeight="1"/>
    <row r="17" ht="24" customHeight="1">
      <c r="A17" s="38" t="inlineStr">
        <is>
          <t>★  DETALLE POR REPRESENTANTE — ABRIL 2026</t>
        </is>
      </c>
    </row>
    <row r="18" ht="22" customHeight="1">
      <c r="A18" s="49" t="inlineStr">
        <is>
          <t>Representante</t>
        </is>
      </c>
      <c r="B18" s="49" t="inlineStr">
        <is>
          <t>Ciudad</t>
        </is>
      </c>
      <c r="C18" s="49" t="inlineStr">
        <is>
          <t>Sec</t>
        </is>
      </c>
      <c r="D18" s="49" t="inlineStr">
        <is>
          <t>Med</t>
        </is>
      </c>
      <c r="E18" s="49" t="inlineStr">
        <is>
          <t>Obs</t>
        </is>
      </c>
      <c r="F18" s="49" t="inlineStr">
        <is>
          <t>Total Visitas</t>
        </is>
      </c>
      <c r="G18" s="49" t="inlineStr">
        <is>
          <t>Target Mes</t>
        </is>
      </c>
      <c r="H18" s="49" t="inlineStr">
        <is>
          <t>% Avance</t>
        </is>
      </c>
      <c r="I18" s="49" t="inlineStr">
        <is>
          <t>Leads Ingresados</t>
        </is>
      </c>
      <c r="J18" s="49" t="inlineStr">
        <is>
          <t>Válidos</t>
        </is>
      </c>
      <c r="K18" s="49" t="inlineStr">
        <is>
          <t>Serv.Cerrados</t>
        </is>
      </c>
      <c r="L18" s="49" t="inlineStr">
        <is>
          <t>Top Clínica Lima/AQP</t>
        </is>
      </c>
      <c r="M18" s="49" t="inlineStr">
        <is>
          <t>Notas</t>
        </is>
      </c>
    </row>
    <row r="19" ht="20" customHeight="1">
      <c r="A19" s="55" t="inlineStr">
        <is>
          <t>Milagros</t>
        </is>
      </c>
      <c r="B19" s="55" t="inlineStr">
        <is>
          <t>Lima</t>
        </is>
      </c>
      <c r="C19" s="55" t="n">
        <v>5</v>
      </c>
      <c r="D19" s="55" t="n">
        <v>128</v>
      </c>
      <c r="E19" s="55" t="n">
        <v>10</v>
      </c>
      <c r="F19" s="55" t="n">
        <v>143</v>
      </c>
      <c r="G19" s="55" t="inlineStr">
        <is>
          <t>PENDIENTE</t>
        </is>
      </c>
      <c r="H19" s="55" t="inlineStr">
        <is>
          <t>PEND / PEND</t>
        </is>
      </c>
      <c r="I19" s="55" t="n">
        <v>403</v>
      </c>
      <c r="J19" s="55" t="inlineStr">
        <is>
          <t>PEND</t>
        </is>
      </c>
      <c r="K19" s="55" t="inlineStr">
        <is>
          <t>PEND</t>
        </is>
      </c>
      <c r="L19" s="47" t="inlineStr">
        <is>
          <t>Clínica Delgado 28 / San Felipe 24</t>
        </is>
      </c>
      <c r="M19" s="47" t="inlineStr">
        <is>
          <t>Secretarias muy bajas (5) — oportunidad</t>
        </is>
      </c>
    </row>
    <row r="20" ht="20" customHeight="1">
      <c r="A20" s="53" t="inlineStr">
        <is>
          <t>Marylin</t>
        </is>
      </c>
      <c r="B20" s="53" t="inlineStr">
        <is>
          <t>Lima</t>
        </is>
      </c>
      <c r="C20" s="53" t="n">
        <v>9</v>
      </c>
      <c r="D20" s="53" t="n">
        <v>114</v>
      </c>
      <c r="E20" s="53" t="n">
        <v>16</v>
      </c>
      <c r="F20" s="53" t="n">
        <v>139</v>
      </c>
      <c r="G20" s="53" t="inlineStr">
        <is>
          <t>PENDIENTE</t>
        </is>
      </c>
      <c r="H20" s="53" t="inlineStr">
        <is>
          <t>PEND / PEND</t>
        </is>
      </c>
      <c r="I20" s="53" t="n">
        <v>267</v>
      </c>
      <c r="J20" s="53" t="inlineStr">
        <is>
          <t>PEND</t>
        </is>
      </c>
      <c r="K20" s="53" t="inlineStr">
        <is>
          <t>PEND</t>
        </is>
      </c>
      <c r="L20" s="43" t="inlineStr">
        <is>
          <t>Cl.Int.San Borja 27 / SANNA SB 24</t>
        </is>
      </c>
      <c r="M20" s="43" t="inlineStr">
        <is>
          <t>Mix sólido Sec+Obs</t>
        </is>
      </c>
    </row>
    <row r="21" ht="20" customHeight="1">
      <c r="A21" s="55" t="inlineStr">
        <is>
          <t>Velia</t>
        </is>
      </c>
      <c r="B21" s="55" t="inlineStr">
        <is>
          <t>Arequipa</t>
        </is>
      </c>
      <c r="C21" s="55" t="n">
        <v>19</v>
      </c>
      <c r="D21" s="55" t="n">
        <v>104</v>
      </c>
      <c r="E21" s="55" t="n">
        <v>8</v>
      </c>
      <c r="F21" s="55" t="n">
        <v>131</v>
      </c>
      <c r="G21" s="55" t="inlineStr">
        <is>
          <t>PENDIENTE</t>
        </is>
      </c>
      <c r="H21" s="55" t="inlineStr">
        <is>
          <t>PEND / PEND</t>
        </is>
      </c>
      <c r="I21" s="55" t="n">
        <v>215</v>
      </c>
      <c r="J21" s="55" t="inlineStr">
        <is>
          <t>PEND</t>
        </is>
      </c>
      <c r="K21" s="55" t="inlineStr">
        <is>
          <t>PEND</t>
        </is>
      </c>
      <c r="L21" s="47" t="inlineStr">
        <is>
          <t>EsSalud Yanahuara 13 / San Pablo AQP 13</t>
        </is>
      </c>
      <c r="M21" s="47" t="inlineStr">
        <is>
          <t>19 Sec = mayor cobertura secretarias</t>
        </is>
      </c>
    </row>
    <row r="22" ht="20" customHeight="1">
      <c r="A22" s="53" t="inlineStr">
        <is>
          <t>Adler</t>
        </is>
      </c>
      <c r="B22" s="53" t="inlineStr">
        <is>
          <t>FFVV-Comercial</t>
        </is>
      </c>
      <c r="C22" s="53" t="n"/>
      <c r="D22" s="53" t="n"/>
      <c r="E22" s="53" t="n"/>
      <c r="F22" s="53" t="n"/>
      <c r="G22" s="53" t="inlineStr">
        <is>
          <t>—</t>
        </is>
      </c>
      <c r="H22" s="53" t="inlineStr">
        <is>
          <t>—</t>
        </is>
      </c>
      <c r="I22" s="53" t="inlineStr">
        <is>
          <t>PEND</t>
        </is>
      </c>
      <c r="J22" s="53" t="inlineStr">
        <is>
          <t>PEND</t>
        </is>
      </c>
      <c r="K22" s="53" t="inlineStr">
        <is>
          <t>PEND</t>
        </is>
      </c>
      <c r="L22" s="43" t="inlineStr">
        <is>
          <t>—</t>
        </is>
      </c>
      <c r="M22" s="43" t="inlineStr">
        <is>
          <t>Adler en FFVV-Comercial ABR — excluido de VM</t>
        </is>
      </c>
    </row>
    <row r="23" ht="20" customHeight="1">
      <c r="A23" s="50" t="inlineStr">
        <is>
          <t>TOTAL VM CrioCord</t>
        </is>
      </c>
      <c r="B23" s="50" t="inlineStr">
        <is>
          <t>—</t>
        </is>
      </c>
      <c r="C23" s="50" t="n">
        <v>33</v>
      </c>
      <c r="D23" s="50" t="n">
        <v>346</v>
      </c>
      <c r="E23" s="50" t="n">
        <v>34</v>
      </c>
      <c r="F23" s="50" t="n">
        <v>413</v>
      </c>
      <c r="G23" s="50" t="inlineStr">
        <is>
          <t>PENDIENTE</t>
        </is>
      </c>
      <c r="H23" s="50" t="inlineStr">
        <is>
          <t>PENDIENTE</t>
        </is>
      </c>
      <c r="I23" s="50" t="n">
        <v>885</v>
      </c>
      <c r="J23" s="50" t="inlineStr">
        <is>
          <t>PENDIENTE</t>
        </is>
      </c>
      <c r="K23" s="50" t="inlineStr">
        <is>
          <t>PENDIENTE</t>
        </is>
      </c>
      <c r="L23" s="51" t="inlineStr">
        <is>
          <t>—</t>
        </is>
      </c>
      <c r="M23" s="51" t="inlineStr">
        <is>
          <t>Sin canal Lazo de Vida</t>
        </is>
      </c>
    </row>
    <row r="25" ht="10" customHeight="1"/>
    <row r="26" ht="24" customHeight="1">
      <c r="A26" s="38" t="inlineStr">
        <is>
          <t>★  EVOLUCIÓN MENSUAL VISITAS — ENE A ABR 2026 (CrioCord)</t>
        </is>
      </c>
    </row>
    <row r="27" ht="24" customHeight="1">
      <c r="A27" s="49" t="inlineStr">
        <is>
          <t>Mes</t>
        </is>
      </c>
      <c r="B27" s="49" t="inlineStr">
        <is>
          <t>Milagros_Visitas</t>
        </is>
      </c>
      <c r="C27" s="49" t="inlineStr">
        <is>
          <t>Marylin_Visitas</t>
        </is>
      </c>
      <c r="D27" s="49" t="inlineStr">
        <is>
          <t>Adler_Visitas</t>
        </is>
      </c>
      <c r="E27" s="49" t="inlineStr">
        <is>
          <t>Velia_Visitas</t>
        </is>
      </c>
      <c r="F27" s="49" t="inlineStr">
        <is>
          <t>Alejandra_Visitas</t>
        </is>
      </c>
      <c r="G27" s="49" t="inlineStr">
        <is>
          <t>TOTAL_Visitas</t>
        </is>
      </c>
      <c r="H27" s="49" t="inlineStr">
        <is>
          <t>TOTAL_Sec</t>
        </is>
      </c>
      <c r="I27" s="49" t="inlineStr">
        <is>
          <t>TOTAL_Med</t>
        </is>
      </c>
      <c r="J27" s="49" t="inlineStr">
        <is>
          <t>TOTAL_Obs</t>
        </is>
      </c>
      <c r="K27" s="49" t="inlineStr">
        <is>
          <t>Leads_Ingresados</t>
        </is>
      </c>
      <c r="L27" s="49" t="inlineStr">
        <is>
          <t>% Vs Mes Anterior</t>
        </is>
      </c>
      <c r="M27" s="49" t="inlineStr">
        <is>
          <t>Nota</t>
        </is>
      </c>
    </row>
    <row r="28" ht="18" customHeight="1">
      <c r="A28" s="52" t="inlineStr">
        <is>
          <t>ENE 2026</t>
        </is>
      </c>
      <c r="B28" s="53" t="n">
        <v>139</v>
      </c>
      <c r="C28" s="53" t="n">
        <v>139</v>
      </c>
      <c r="D28" s="53" t="n">
        <v>144</v>
      </c>
      <c r="E28" s="53" t="n">
        <v>141</v>
      </c>
      <c r="F28" s="53" t="n">
        <v>86</v>
      </c>
      <c r="G28" s="53" t="n">
        <v>649</v>
      </c>
      <c r="H28" s="53" t="n">
        <v>94</v>
      </c>
      <c r="I28" s="53" t="n">
        <v>371</v>
      </c>
      <c r="J28" s="53" t="n">
        <v>127</v>
      </c>
      <c r="K28" s="53" t="n">
        <v>431</v>
      </c>
      <c r="L28" s="53" t="inlineStr">
        <is>
          <t>—</t>
        </is>
      </c>
      <c r="M28" s="53" t="inlineStr">
        <is>
          <t>Alejandra solo Marcas; Adler Lima+Prov</t>
        </is>
      </c>
    </row>
    <row r="29" ht="18" customHeight="1">
      <c r="A29" s="54" t="inlineStr">
        <is>
          <t>FEB 2026</t>
        </is>
      </c>
      <c r="B29" s="55" t="n">
        <v>145</v>
      </c>
      <c r="C29" s="55" t="n">
        <v>131</v>
      </c>
      <c r="D29" s="55" t="n">
        <v>120</v>
      </c>
      <c r="E29" s="55" t="n">
        <v>127</v>
      </c>
      <c r="F29" s="55" t="n">
        <v>92</v>
      </c>
      <c r="G29" s="55" t="n">
        <v>615</v>
      </c>
      <c r="H29" s="55" t="n">
        <v>49</v>
      </c>
      <c r="I29" s="55" t="n">
        <v>281</v>
      </c>
      <c r="J29" s="55" t="n">
        <v>97</v>
      </c>
      <c r="K29" s="55" t="n">
        <v>656</v>
      </c>
      <c r="L29" s="55" t="inlineStr">
        <is>
          <t>-5.2%</t>
        </is>
      </c>
      <c r="M29" s="55" t="inlineStr">
        <is>
          <t>Adler baja a 120 vs 144 ENE</t>
        </is>
      </c>
    </row>
    <row r="30" ht="18" customHeight="1">
      <c r="A30" s="52" t="inlineStr">
        <is>
          <t>MAR 2026</t>
        </is>
      </c>
      <c r="B30" s="53" t="n">
        <v>110</v>
      </c>
      <c r="C30" s="53" t="n">
        <v>145</v>
      </c>
      <c r="D30" s="53" t="n">
        <v>109</v>
      </c>
      <c r="E30" s="53" t="n">
        <v>143</v>
      </c>
      <c r="F30" s="53" t="n"/>
      <c r="G30" s="53" t="n">
        <v>507</v>
      </c>
      <c r="H30" s="53" t="n">
        <v>41</v>
      </c>
      <c r="I30" s="53" t="n">
        <v>290</v>
      </c>
      <c r="J30" s="53" t="n">
        <v>104</v>
      </c>
      <c r="K30" s="53" t="n">
        <v>884</v>
      </c>
      <c r="L30" s="53" t="inlineStr">
        <is>
          <t>-17.6%</t>
        </is>
      </c>
      <c r="M30" s="53" t="inlineStr">
        <is>
          <t>Alejandra sin data MAR; Adler en Lima</t>
        </is>
      </c>
    </row>
    <row r="31" ht="18" customHeight="1">
      <c r="A31" s="54" t="inlineStr">
        <is>
          <t>ABR 2026</t>
        </is>
      </c>
      <c r="B31" s="55" t="n">
        <v>143</v>
      </c>
      <c r="C31" s="55" t="n">
        <v>139</v>
      </c>
      <c r="D31" s="55" t="n"/>
      <c r="E31" s="55" t="n">
        <v>131</v>
      </c>
      <c r="F31" s="55" t="n"/>
      <c r="G31" s="55" t="n">
        <v>413</v>
      </c>
      <c r="H31" s="55" t="n">
        <v>33</v>
      </c>
      <c r="I31" s="55" t="n">
        <v>346</v>
      </c>
      <c r="J31" s="55" t="n">
        <v>34</v>
      </c>
      <c r="K31" s="55" t="n">
        <v>885</v>
      </c>
      <c r="L31" s="55" t="inlineStr">
        <is>
          <t>-18.5%</t>
        </is>
      </c>
      <c r="M31" s="55" t="inlineStr">
        <is>
          <t>Adler a FFVV-Comercial; Alejandra sin data</t>
        </is>
      </c>
    </row>
    <row r="33" ht="10" customHeight="1"/>
    <row r="34" ht="24" customHeight="1">
      <c r="A34" s="38" t="inlineStr">
        <is>
          <t>★  TOP CLÍNICAS — ABRIL 2026</t>
        </is>
      </c>
    </row>
    <row r="35" ht="20" customHeight="1">
      <c r="A35" s="49" t="inlineStr">
        <is>
          <t>#</t>
        </is>
      </c>
      <c r="B35" s="49" t="inlineStr">
        <is>
          <t>Representante</t>
        </is>
      </c>
      <c r="C35" s="49" t="inlineStr">
        <is>
          <t>Ciudad</t>
        </is>
      </c>
      <c r="D35" s="49" t="inlineStr">
        <is>
          <t>Clínica</t>
        </is>
      </c>
      <c r="E35" s="49" t="inlineStr">
        <is>
          <t>Visitas Mes</t>
        </is>
      </c>
      <c r="F35" s="49" t="inlineStr">
        <is>
          <t>Categoría</t>
        </is>
      </c>
      <c r="G35" s="56" t="inlineStr"/>
      <c r="H35" s="56" t="inlineStr"/>
      <c r="I35" s="56" t="inlineStr"/>
      <c r="J35" s="56" t="inlineStr"/>
      <c r="K35" s="56" t="inlineStr"/>
      <c r="L35" s="56" t="inlineStr"/>
      <c r="M35" s="56" t="inlineStr"/>
    </row>
    <row r="36" ht="16" customHeight="1">
      <c r="A36" s="52" t="n">
        <v>1</v>
      </c>
      <c r="B36" s="53" t="inlineStr">
        <is>
          <t>Milagros</t>
        </is>
      </c>
      <c r="C36" s="53" t="inlineStr">
        <is>
          <t>Lima</t>
        </is>
      </c>
      <c r="D36" s="52" t="inlineStr">
        <is>
          <t>Clínica Delgado</t>
        </is>
      </c>
      <c r="E36" s="53" t="n">
        <v>28</v>
      </c>
      <c r="F36" s="53" t="inlineStr">
        <is>
          <t>Med/Sec</t>
        </is>
      </c>
      <c r="G36" s="57" t="inlineStr"/>
      <c r="H36" s="57" t="inlineStr"/>
      <c r="I36" s="57" t="inlineStr"/>
      <c r="J36" s="57" t="inlineStr"/>
      <c r="K36" s="57" t="inlineStr"/>
      <c r="L36" s="57" t="inlineStr"/>
      <c r="M36" s="57" t="inlineStr"/>
    </row>
    <row r="37" ht="16" customHeight="1">
      <c r="A37" s="54" t="n">
        <v>2</v>
      </c>
      <c r="B37" s="55" t="inlineStr">
        <is>
          <t>Milagros</t>
        </is>
      </c>
      <c r="C37" s="55" t="inlineStr">
        <is>
          <t>Lima</t>
        </is>
      </c>
      <c r="D37" s="54" t="inlineStr">
        <is>
          <t>San Felipe</t>
        </is>
      </c>
      <c r="E37" s="55" t="n">
        <v>24</v>
      </c>
      <c r="F37" s="55" t="inlineStr">
        <is>
          <t>Med/Sec</t>
        </is>
      </c>
      <c r="G37" s="58" t="inlineStr"/>
      <c r="H37" s="58" t="inlineStr"/>
      <c r="I37" s="58" t="inlineStr"/>
      <c r="J37" s="58" t="inlineStr"/>
      <c r="K37" s="58" t="inlineStr"/>
      <c r="L37" s="58" t="inlineStr"/>
      <c r="M37" s="58" t="inlineStr"/>
    </row>
    <row r="38" ht="16" customHeight="1">
      <c r="A38" s="52" t="n">
        <v>3</v>
      </c>
      <c r="B38" s="53" t="inlineStr">
        <is>
          <t>Milagros</t>
        </is>
      </c>
      <c r="C38" s="53" t="inlineStr">
        <is>
          <t>Lima</t>
        </is>
      </c>
      <c r="D38" s="52" t="inlineStr">
        <is>
          <t>SANNA El Golf</t>
        </is>
      </c>
      <c r="E38" s="53" t="n">
        <v>23</v>
      </c>
      <c r="F38" s="53" t="inlineStr">
        <is>
          <t>Med/Obs</t>
        </is>
      </c>
      <c r="G38" s="57" t="inlineStr"/>
      <c r="H38" s="57" t="inlineStr"/>
      <c r="I38" s="57" t="inlineStr"/>
      <c r="J38" s="57" t="inlineStr"/>
      <c r="K38" s="57" t="inlineStr"/>
      <c r="L38" s="57" t="inlineStr"/>
      <c r="M38" s="57" t="inlineStr"/>
    </row>
    <row r="39" ht="16" customHeight="1">
      <c r="A39" s="54" t="n">
        <v>4</v>
      </c>
      <c r="B39" s="55" t="inlineStr">
        <is>
          <t>Milagros</t>
        </is>
      </c>
      <c r="C39" s="55" t="inlineStr">
        <is>
          <t>Lima</t>
        </is>
      </c>
      <c r="D39" s="54" t="inlineStr">
        <is>
          <t>Clínica Miraflores</t>
        </is>
      </c>
      <c r="E39" s="55" t="n">
        <v>14</v>
      </c>
      <c r="F39" s="55" t="inlineStr">
        <is>
          <t>Med</t>
        </is>
      </c>
      <c r="G39" s="58" t="inlineStr"/>
      <c r="H39" s="58" t="inlineStr"/>
      <c r="I39" s="58" t="inlineStr"/>
      <c r="J39" s="58" t="inlineStr"/>
      <c r="K39" s="58" t="inlineStr"/>
      <c r="L39" s="58" t="inlineStr"/>
      <c r="M39" s="58" t="inlineStr"/>
    </row>
    <row r="40" ht="16" customHeight="1">
      <c r="A40" s="52" t="n">
        <v>5</v>
      </c>
      <c r="B40" s="53" t="inlineStr">
        <is>
          <t>Milagros</t>
        </is>
      </c>
      <c r="C40" s="53" t="inlineStr">
        <is>
          <t>Lima</t>
        </is>
      </c>
      <c r="D40" s="52" t="inlineStr">
        <is>
          <t>Angloamericana</t>
        </is>
      </c>
      <c r="E40" s="53" t="n">
        <v>11</v>
      </c>
      <c r="F40" s="53" t="inlineStr">
        <is>
          <t>Med/Obs</t>
        </is>
      </c>
      <c r="G40" s="57" t="inlineStr"/>
      <c r="H40" s="57" t="inlineStr"/>
      <c r="I40" s="57" t="inlineStr"/>
      <c r="J40" s="57" t="inlineStr"/>
      <c r="K40" s="57" t="inlineStr"/>
      <c r="L40" s="57" t="inlineStr"/>
      <c r="M40" s="57" t="inlineStr"/>
    </row>
    <row r="41" ht="16" customHeight="1">
      <c r="A41" s="54" t="n">
        <v>6</v>
      </c>
      <c r="B41" s="55" t="inlineStr">
        <is>
          <t>Marylin</t>
        </is>
      </c>
      <c r="C41" s="55" t="inlineStr">
        <is>
          <t>Lima</t>
        </is>
      </c>
      <c r="D41" s="54" t="inlineStr">
        <is>
          <t>Cl. Internacional San Borja</t>
        </is>
      </c>
      <c r="E41" s="55" t="n">
        <v>27</v>
      </c>
      <c r="F41" s="55" t="inlineStr">
        <is>
          <t>Med/Sec</t>
        </is>
      </c>
      <c r="G41" s="58" t="inlineStr"/>
      <c r="H41" s="58" t="inlineStr"/>
      <c r="I41" s="58" t="inlineStr"/>
      <c r="J41" s="58" t="inlineStr"/>
      <c r="K41" s="58" t="inlineStr"/>
      <c r="L41" s="58" t="inlineStr"/>
      <c r="M41" s="58" t="inlineStr"/>
    </row>
    <row r="42" ht="16" customHeight="1">
      <c r="A42" s="52" t="n">
        <v>7</v>
      </c>
      <c r="B42" s="53" t="inlineStr">
        <is>
          <t>Marylin</t>
        </is>
      </c>
      <c r="C42" s="53" t="inlineStr">
        <is>
          <t>Lima</t>
        </is>
      </c>
      <c r="D42" s="52" t="inlineStr">
        <is>
          <t>SANNA San Borja</t>
        </is>
      </c>
      <c r="E42" s="53" t="n">
        <v>24</v>
      </c>
      <c r="F42" s="53" t="inlineStr">
        <is>
          <t>Med/Sec</t>
        </is>
      </c>
      <c r="G42" s="57" t="inlineStr"/>
      <c r="H42" s="57" t="inlineStr"/>
      <c r="I42" s="57" t="inlineStr"/>
      <c r="J42" s="57" t="inlineStr"/>
      <c r="K42" s="57" t="inlineStr"/>
      <c r="L42" s="57" t="inlineStr"/>
      <c r="M42" s="57" t="inlineStr"/>
    </row>
    <row r="43" ht="16" customHeight="1">
      <c r="A43" s="54" t="n">
        <v>8</v>
      </c>
      <c r="B43" s="55" t="inlineStr">
        <is>
          <t>Marylin</t>
        </is>
      </c>
      <c r="C43" s="55" t="inlineStr">
        <is>
          <t>Lima</t>
        </is>
      </c>
      <c r="D43" s="54" t="inlineStr">
        <is>
          <t>Ricardo Palma</t>
        </is>
      </c>
      <c r="E43" s="55" t="n">
        <v>12</v>
      </c>
      <c r="F43" s="55" t="inlineStr">
        <is>
          <t>Med</t>
        </is>
      </c>
      <c r="G43" s="58" t="inlineStr"/>
      <c r="H43" s="58" t="inlineStr"/>
      <c r="I43" s="58" t="inlineStr"/>
      <c r="J43" s="58" t="inlineStr"/>
      <c r="K43" s="58" t="inlineStr"/>
      <c r="L43" s="58" t="inlineStr"/>
      <c r="M43" s="58" t="inlineStr"/>
    </row>
    <row r="44" ht="16" customHeight="1">
      <c r="A44" s="52" t="n">
        <v>9</v>
      </c>
      <c r="B44" s="53" t="inlineStr">
        <is>
          <t>Marylin</t>
        </is>
      </c>
      <c r="C44" s="53" t="inlineStr">
        <is>
          <t>Lima</t>
        </is>
      </c>
      <c r="D44" s="52" t="inlineStr">
        <is>
          <t>Clínica Santa Isabel</t>
        </is>
      </c>
      <c r="E44" s="53" t="n">
        <v>11</v>
      </c>
      <c r="F44" s="53" t="inlineStr">
        <is>
          <t>Med</t>
        </is>
      </c>
      <c r="G44" s="57" t="inlineStr"/>
      <c r="H44" s="57" t="inlineStr"/>
      <c r="I44" s="57" t="inlineStr"/>
      <c r="J44" s="57" t="inlineStr"/>
      <c r="K44" s="57" t="inlineStr"/>
      <c r="L44" s="57" t="inlineStr"/>
      <c r="M44" s="57" t="inlineStr"/>
    </row>
    <row r="45" ht="16" customHeight="1">
      <c r="A45" s="54" t="n">
        <v>10</v>
      </c>
      <c r="B45" s="55" t="inlineStr">
        <is>
          <t>Marylin</t>
        </is>
      </c>
      <c r="C45" s="55" t="inlineStr">
        <is>
          <t>Lima</t>
        </is>
      </c>
      <c r="D45" s="54" t="inlineStr">
        <is>
          <t>Montesur</t>
        </is>
      </c>
      <c r="E45" s="55" t="n">
        <v>6</v>
      </c>
      <c r="F45" s="55" t="inlineStr">
        <is>
          <t>Med</t>
        </is>
      </c>
      <c r="G45" s="58" t="inlineStr"/>
      <c r="H45" s="58" t="inlineStr"/>
      <c r="I45" s="58" t="inlineStr"/>
      <c r="J45" s="58" t="inlineStr"/>
      <c r="K45" s="58" t="inlineStr"/>
      <c r="L45" s="58" t="inlineStr"/>
      <c r="M45" s="58" t="inlineStr"/>
    </row>
    <row r="46" ht="16" customHeight="1">
      <c r="A46" s="52" t="n">
        <v>11</v>
      </c>
      <c r="B46" s="53" t="inlineStr">
        <is>
          <t>Velia</t>
        </is>
      </c>
      <c r="C46" s="53" t="inlineStr">
        <is>
          <t>Arequipa</t>
        </is>
      </c>
      <c r="D46" s="52" t="inlineStr">
        <is>
          <t>Pol. EsSalud Yanahuara</t>
        </is>
      </c>
      <c r="E46" s="53" t="n">
        <v>13</v>
      </c>
      <c r="F46" s="53" t="inlineStr">
        <is>
          <t>Med</t>
        </is>
      </c>
      <c r="G46" s="57" t="inlineStr"/>
      <c r="H46" s="57" t="inlineStr"/>
      <c r="I46" s="57" t="inlineStr"/>
      <c r="J46" s="57" t="inlineStr"/>
      <c r="K46" s="57" t="inlineStr"/>
      <c r="L46" s="57" t="inlineStr"/>
      <c r="M46" s="57" t="inlineStr"/>
    </row>
    <row r="47" ht="16" customHeight="1">
      <c r="A47" s="54" t="n">
        <v>12</v>
      </c>
      <c r="B47" s="55" t="inlineStr">
        <is>
          <t>Velia</t>
        </is>
      </c>
      <c r="C47" s="55" t="inlineStr">
        <is>
          <t>Arequipa</t>
        </is>
      </c>
      <c r="D47" s="54" t="inlineStr">
        <is>
          <t>Clínica San Pablo AQP</t>
        </is>
      </c>
      <c r="E47" s="55" t="n">
        <v>13</v>
      </c>
      <c r="F47" s="55" t="inlineStr">
        <is>
          <t>Med</t>
        </is>
      </c>
      <c r="G47" s="58" t="inlineStr"/>
      <c r="H47" s="58" t="inlineStr"/>
      <c r="I47" s="58" t="inlineStr"/>
      <c r="J47" s="58" t="inlineStr"/>
      <c r="K47" s="58" t="inlineStr"/>
      <c r="L47" s="58" t="inlineStr"/>
      <c r="M47" s="58" t="inlineStr"/>
    </row>
    <row r="48" ht="16" customHeight="1">
      <c r="A48" s="52" t="n">
        <v>13</v>
      </c>
      <c r="B48" s="53" t="inlineStr">
        <is>
          <t>Velia</t>
        </is>
      </c>
      <c r="C48" s="53" t="inlineStr">
        <is>
          <t>Arequipa</t>
        </is>
      </c>
      <c r="D48" s="52" t="inlineStr">
        <is>
          <t>AUNA Valle Sur AQP</t>
        </is>
      </c>
      <c r="E48" s="53" t="n">
        <v>9</v>
      </c>
      <c r="F48" s="53" t="inlineStr">
        <is>
          <t>Med</t>
        </is>
      </c>
      <c r="G48" s="57" t="inlineStr"/>
      <c r="H48" s="57" t="inlineStr"/>
      <c r="I48" s="57" t="inlineStr"/>
      <c r="J48" s="57" t="inlineStr"/>
      <c r="K48" s="57" t="inlineStr"/>
      <c r="L48" s="57" t="inlineStr"/>
      <c r="M48" s="57" t="inlineStr"/>
    </row>
    <row r="49" ht="16" customHeight="1">
      <c r="A49" s="54" t="n">
        <v>14</v>
      </c>
      <c r="B49" s="55" t="inlineStr">
        <is>
          <t>Velia</t>
        </is>
      </c>
      <c r="C49" s="55" t="inlineStr">
        <is>
          <t>Arequipa</t>
        </is>
      </c>
      <c r="D49" s="54" t="inlineStr">
        <is>
          <t>Clínica San Juan de Dios</t>
        </is>
      </c>
      <c r="E49" s="55" t="n">
        <v>11</v>
      </c>
      <c r="F49" s="55" t="inlineStr">
        <is>
          <t>Med</t>
        </is>
      </c>
      <c r="G49" s="58" t="inlineStr"/>
      <c r="H49" s="58" t="inlineStr"/>
      <c r="I49" s="58" t="inlineStr"/>
      <c r="J49" s="58" t="inlineStr"/>
      <c r="K49" s="58" t="inlineStr"/>
      <c r="L49" s="58" t="inlineStr"/>
      <c r="M49" s="58" t="inlineStr"/>
    </row>
    <row r="50" ht="16" customHeight="1">
      <c r="A50" s="52" t="n">
        <v>15</v>
      </c>
      <c r="B50" s="53" t="inlineStr">
        <is>
          <t>Velia</t>
        </is>
      </c>
      <c r="C50" s="53" t="inlineStr">
        <is>
          <t>Arequipa</t>
        </is>
      </c>
      <c r="D50" s="52" t="inlineStr">
        <is>
          <t>Clínica Arequipa</t>
        </is>
      </c>
      <c r="E50" s="53" t="n">
        <v>9</v>
      </c>
      <c r="F50" s="53" t="inlineStr">
        <is>
          <t>Med</t>
        </is>
      </c>
      <c r="G50" s="57" t="inlineStr"/>
      <c r="H50" s="57" t="inlineStr"/>
      <c r="I50" s="57" t="inlineStr"/>
      <c r="J50" s="57" t="inlineStr"/>
      <c r="K50" s="57" t="inlineStr"/>
      <c r="L50" s="57" t="inlineStr"/>
      <c r="M50" s="57" t="inlineStr"/>
    </row>
    <row r="53" ht="30" customHeight="1">
      <c r="A53" s="59" t="inlineStr">
        <is>
          <t>⚠  EXCLUSIONES: Esta hoja NO incluye pagos, honorarios, comisiones, sueldos ni ROI de visitadores. Módulo de Visita Médica = actividad, cobertura y conversión únicamente.  |  Lenguaje: 'potencial de uso', 'herramienta de apoyo', 'según indicación médica'.</t>
        </is>
      </c>
    </row>
  </sheetData>
  <mergeCells count="7">
    <mergeCell ref="A1:M1"/>
    <mergeCell ref="A34:M34"/>
    <mergeCell ref="A17:M17"/>
    <mergeCell ref="A4:M4"/>
    <mergeCell ref="A26:M26"/>
    <mergeCell ref="A53:M53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2" customWidth="1" min="4" max="4"/>
    <col width="38" customWidth="1" min="5" max="5"/>
    <col width="14" customWidth="1" min="6" max="6"/>
    <col width="30" customWidth="1" min="7" max="7"/>
  </cols>
  <sheetData>
    <row r="1">
      <c r="A1" s="60" t="inlineStr">
        <is>
          <t>CRONOGRAMA ACCIONES JUNIO 2026 — Marketing CrioCord</t>
        </is>
      </c>
    </row>
    <row r="2">
      <c r="A2" s="61" t="inlineStr">
        <is>
          <t>Estado: VERDE = completado | AMARILLO = en curso | GRIS = pendiente</t>
        </is>
      </c>
    </row>
    <row r="3">
      <c r="A3" s="72" t="inlineStr">
        <is>
          <t>Referencia: CRONOGRAMA 2026 FINAL.xlsx + Plan de Marketing Cryoholdco</t>
        </is>
      </c>
    </row>
    <row r="5">
      <c r="A5" s="62" t="inlineStr">
        <is>
          <t>#</t>
        </is>
      </c>
      <c r="B5" s="62" t="inlineStr">
        <is>
          <t>Categoría</t>
        </is>
      </c>
      <c r="C5" s="62" t="inlineStr">
        <is>
          <t>Acción</t>
        </is>
      </c>
      <c r="D5" s="62" t="inlineStr">
        <is>
          <t>Fecha</t>
        </is>
      </c>
      <c r="E5" s="62" t="inlineStr">
        <is>
          <t>Canal/Target</t>
        </is>
      </c>
      <c r="F5" s="62" t="inlineStr">
        <is>
          <t>Estado</t>
        </is>
      </c>
      <c r="G5" s="62" t="inlineStr">
        <is>
          <t>Nota / Fuente</t>
        </is>
      </c>
    </row>
    <row r="6">
      <c r="A6" s="70" t="n">
        <v>1</v>
      </c>
      <c r="B6" s="70" t="inlineStr">
        <is>
          <t>Promoción Médica</t>
        </is>
      </c>
      <c r="C6" s="70" t="inlineStr">
        <is>
          <t>Inicio de Ciclo Junio</t>
        </is>
      </c>
      <c r="D6" s="70" t="inlineStr">
        <is>
          <t>JUN-02 sem 1</t>
        </is>
      </c>
      <c r="E6" s="70" t="inlineStr">
        <is>
          <t>Equipo VM</t>
        </is>
      </c>
      <c r="F6" s="70" t="inlineStr">
        <is>
          <t>PENDIENTE</t>
        </is>
      </c>
      <c r="G6" s="70" t="inlineStr">
        <is>
          <t>CRONOGRAMA 2026 FINAL</t>
        </is>
      </c>
    </row>
    <row r="7">
      <c r="A7" s="70" t="n">
        <v>2</v>
      </c>
      <c r="B7" s="70" t="inlineStr">
        <is>
          <t>Promoción Médica</t>
        </is>
      </c>
      <c r="C7" s="70" t="inlineStr">
        <is>
          <t>Entrenamiento 1 a 1 Ejecutivos</t>
        </is>
      </c>
      <c r="D7" s="70" t="inlineStr">
        <is>
          <t>07 al 14 JUN</t>
        </is>
      </c>
      <c r="E7" s="70" t="inlineStr">
        <is>
          <t>Asesores: Heinrich/Adler/Liseth/Carolina</t>
        </is>
      </c>
      <c r="F7" s="70" t="inlineStr">
        <is>
          <t>PENDIENTE</t>
        </is>
      </c>
      <c r="G7" s="70" t="inlineStr"/>
    </row>
    <row r="8">
      <c r="A8" s="70" t="n">
        <v>3</v>
      </c>
      <c r="B8" s="70" t="inlineStr">
        <is>
          <t>Promoción Médica</t>
        </is>
      </c>
      <c r="C8" s="70" t="inlineStr">
        <is>
          <t>Entrenamiento 1 a 1 Reps</t>
        </is>
      </c>
      <c r="D8" s="70" t="inlineStr">
        <is>
          <t>15 al 20 JUN</t>
        </is>
      </c>
      <c r="E8" s="70" t="inlineStr">
        <is>
          <t>Visitadores: Milagros/Marilyn/Velia</t>
        </is>
      </c>
      <c r="F8" s="70" t="inlineStr">
        <is>
          <t>PENDIENTE</t>
        </is>
      </c>
      <c r="G8" s="70" t="inlineStr"/>
    </row>
    <row r="9">
      <c r="A9" s="70" t="n">
        <v>4</v>
      </c>
      <c r="B9" s="70" t="inlineStr">
        <is>
          <t>Días Especiales</t>
        </is>
      </c>
      <c r="C9" s="70" t="inlineStr">
        <is>
          <t>Día del Padre Doctor — botella pisco marca</t>
        </is>
      </c>
      <c r="D9" s="70" t="inlineStr">
        <is>
          <t>JUN 3ra sem</t>
        </is>
      </c>
      <c r="E9" s="70" t="inlineStr">
        <is>
          <t>Médicos panel</t>
        </is>
      </c>
      <c r="F9" s="70" t="inlineStr">
        <is>
          <t>PENDIENTE</t>
        </is>
      </c>
      <c r="G9" s="70" t="inlineStr">
        <is>
          <t>Cotizar</t>
        </is>
      </c>
    </row>
    <row r="10">
      <c r="A10" s="70" t="n">
        <v>5</v>
      </c>
      <c r="B10" s="70" t="inlineStr">
        <is>
          <t>Comunicaciones MED</t>
        </is>
      </c>
      <c r="C10" s="70" t="inlineStr">
        <is>
          <t>MAIL Médicos — Día Padre + ST</t>
        </is>
      </c>
      <c r="D10" s="70" t="inlineStr">
        <is>
          <t>08-JUN</t>
        </is>
      </c>
      <c r="E10" s="70" t="inlineStr">
        <is>
          <t>Médicos</t>
        </is>
      </c>
      <c r="F10" s="70" t="inlineStr">
        <is>
          <t>PENDIENTE</t>
        </is>
      </c>
      <c r="G10" s="70" t="inlineStr"/>
    </row>
    <row r="11">
      <c r="A11" s="70" t="n">
        <v>6</v>
      </c>
      <c r="B11" s="70" t="inlineStr">
        <is>
          <t>Comunicaciones MED</t>
        </is>
      </c>
      <c r="C11" s="70" t="inlineStr">
        <is>
          <t>WATI Médicos — S y T + Ganadores Día Padre</t>
        </is>
      </c>
      <c r="D11" s="70" t="inlineStr">
        <is>
          <t>22-JUN</t>
        </is>
      </c>
      <c r="E11" s="70" t="inlineStr">
        <is>
          <t>Médicos</t>
        </is>
      </c>
      <c r="F11" s="70" t="inlineStr">
        <is>
          <t>PENDIENTE</t>
        </is>
      </c>
      <c r="G11" s="70" t="inlineStr"/>
    </row>
    <row r="12">
      <c r="A12" s="70" t="n">
        <v>7</v>
      </c>
      <c r="B12" s="70" t="inlineStr">
        <is>
          <t>Comunicaciones OBST</t>
        </is>
      </c>
      <c r="C12" s="70" t="inlineStr">
        <is>
          <t>MAIL Obstetras — Evento Piso 13 + link prospección</t>
        </is>
      </c>
      <c r="D12" s="70" t="inlineStr">
        <is>
          <t>08-JUN</t>
        </is>
      </c>
      <c r="E12" s="70" t="inlineStr">
        <is>
          <t>Obstetras</t>
        </is>
      </c>
      <c r="F12" s="70" t="inlineStr">
        <is>
          <t>PENDIENTE</t>
        </is>
      </c>
      <c r="G12" s="70" t="inlineStr">
        <is>
          <t>Confirmar evento</t>
        </is>
      </c>
    </row>
    <row r="13">
      <c r="A13" s="70" t="n">
        <v>8</v>
      </c>
      <c r="B13" s="70" t="inlineStr">
        <is>
          <t>Comunicaciones OBST</t>
        </is>
      </c>
      <c r="C13" s="70" t="inlineStr">
        <is>
          <t>WATI Obstetras — Video + Invitación taller</t>
        </is>
      </c>
      <c r="D13" s="70" t="inlineStr">
        <is>
          <t>22-JUN</t>
        </is>
      </c>
      <c r="E13" s="70" t="inlineStr">
        <is>
          <t>Obstetras</t>
        </is>
      </c>
      <c r="F13" s="70" t="inlineStr">
        <is>
          <t>PENDIENTE</t>
        </is>
      </c>
      <c r="G13" s="70" t="inlineStr"/>
    </row>
    <row r="14">
      <c r="A14" s="70" t="n">
        <v>9</v>
      </c>
      <c r="B14" s="70" t="inlineStr">
        <is>
          <t>Comunicaciones SECR</t>
        </is>
      </c>
      <c r="C14" s="70" t="inlineStr">
        <is>
          <t>MAIL Secretarias — Veritas + Criocord + link</t>
        </is>
      </c>
      <c r="D14" s="70" t="inlineStr">
        <is>
          <t>08-JUN</t>
        </is>
      </c>
      <c r="E14" s="70" t="inlineStr">
        <is>
          <t>Secretarias</t>
        </is>
      </c>
      <c r="F14" s="70" t="inlineStr">
        <is>
          <t>PENDIENTE</t>
        </is>
      </c>
      <c r="G14" s="70" t="inlineStr"/>
    </row>
    <row r="15">
      <c r="A15" s="70" t="n">
        <v>10</v>
      </c>
      <c r="B15" s="70" t="inlineStr">
        <is>
          <t>Comunicaciones SECR</t>
        </is>
      </c>
      <c r="C15" s="70" t="inlineStr">
        <is>
          <t>WATI Secretarias — Video + Invitación taller</t>
        </is>
      </c>
      <c r="D15" s="70" t="inlineStr">
        <is>
          <t>22-JUN</t>
        </is>
      </c>
      <c r="E15" s="70" t="inlineStr">
        <is>
          <t>Secretarias</t>
        </is>
      </c>
      <c r="F15" s="70" t="inlineStr">
        <is>
          <t>PENDIENTE</t>
        </is>
      </c>
      <c r="G15" s="70" t="inlineStr"/>
    </row>
    <row r="16">
      <c r="A16" s="70" t="n">
        <v>11</v>
      </c>
      <c r="B16" s="70" t="inlineStr">
        <is>
          <t>Comunicaciones Prospectos</t>
        </is>
      </c>
      <c r="C16" s="70" t="inlineStr">
        <is>
          <t>WATI — Ventajas Tamizaje</t>
        </is>
      </c>
      <c r="D16" s="70" t="inlineStr">
        <is>
          <t>05-JUN</t>
        </is>
      </c>
      <c r="E16" s="70" t="inlineStr">
        <is>
          <t>Prospectos Activos</t>
        </is>
      </c>
      <c r="F16" s="70" t="inlineStr">
        <is>
          <t>PENDIENTE</t>
        </is>
      </c>
      <c r="G16" s="70" t="inlineStr"/>
    </row>
    <row r="17">
      <c r="A17" s="70" t="n">
        <v>12</v>
      </c>
      <c r="B17" s="70" t="inlineStr">
        <is>
          <t>Comunicaciones Prospectos</t>
        </is>
      </c>
      <c r="C17" s="70" t="inlineStr">
        <is>
          <t>WATI — Cierre mes Tamizaje</t>
        </is>
      </c>
      <c r="D17" s="70" t="inlineStr">
        <is>
          <t>26-JUN</t>
        </is>
      </c>
      <c r="E17" s="70" t="inlineStr">
        <is>
          <t>Prospectos Activos</t>
        </is>
      </c>
      <c r="F17" s="70" t="inlineStr">
        <is>
          <t>PENDIENTE</t>
        </is>
      </c>
      <c r="G17" s="70" t="inlineStr"/>
    </row>
    <row r="18">
      <c r="A18" s="70" t="n">
        <v>13</v>
      </c>
      <c r="B18" s="70" t="inlineStr">
        <is>
          <t>Anualidades</t>
        </is>
      </c>
      <c r="C18" s="70" t="inlineStr">
        <is>
          <t>WATI+CORREO Notificación cobranza</t>
        </is>
      </c>
      <c r="D18" s="70" t="inlineStr">
        <is>
          <t>13-JUN</t>
        </is>
      </c>
      <c r="E18" s="70" t="inlineStr">
        <is>
          <t>Clientes 1 a 5 años</t>
        </is>
      </c>
      <c r="F18" s="70" t="inlineStr">
        <is>
          <t>PENDIENTE</t>
        </is>
      </c>
      <c r="G18" s="70" t="inlineStr"/>
    </row>
    <row r="19">
      <c r="A19" s="70" t="n">
        <v>14</v>
      </c>
      <c r="B19" s="70" t="inlineStr">
        <is>
          <t>Anualidades</t>
        </is>
      </c>
      <c r="C19" s="70" t="inlineStr">
        <is>
          <t>WATI+CORREO Notificación 2da</t>
        </is>
      </c>
      <c r="D19" s="70" t="inlineStr">
        <is>
          <t>27-JUN</t>
        </is>
      </c>
      <c r="E19" s="70" t="inlineStr">
        <is>
          <t>TARGET completo</t>
        </is>
      </c>
      <c r="F19" s="70" t="inlineStr">
        <is>
          <t>PENDIENTE</t>
        </is>
      </c>
      <c r="G19" s="70" t="inlineStr"/>
    </row>
    <row r="20">
      <c r="A20" s="70" t="n">
        <v>15</v>
      </c>
      <c r="B20" s="70" t="inlineStr">
        <is>
          <t>Anualidades</t>
        </is>
      </c>
      <c r="C20" s="70" t="inlineStr">
        <is>
          <t>Cierre cobranza fin de mes</t>
        </is>
      </c>
      <c r="D20" s="70" t="inlineStr">
        <is>
          <t>30-JUN</t>
        </is>
      </c>
      <c r="E20" s="70" t="inlineStr">
        <is>
          <t>TARGET</t>
        </is>
      </c>
      <c r="F20" s="70" t="inlineStr">
        <is>
          <t>PENDIENTE</t>
        </is>
      </c>
      <c r="G20" s="70" t="inlineStr"/>
    </row>
    <row r="21">
      <c r="A21" s="70" t="n">
        <v>16</v>
      </c>
      <c r="B21" s="70" t="inlineStr">
        <is>
          <t>Contabilidad</t>
        </is>
      </c>
      <c r="C21" s="70" t="inlineStr">
        <is>
          <t>Cierre mensual contable</t>
        </is>
      </c>
      <c r="D21" s="70" t="inlineStr">
        <is>
          <t>30-JUN</t>
        </is>
      </c>
      <c r="E21" s="70" t="inlineStr">
        <is>
          <t>Contabilidad</t>
        </is>
      </c>
      <c r="F21" s="70" t="inlineStr">
        <is>
          <t>PENDIENTE</t>
        </is>
      </c>
      <c r="G21" s="70" t="inlineStr"/>
    </row>
    <row r="22">
      <c r="A22" s="70" t="n">
        <v>17</v>
      </c>
      <c r="B22" s="70" t="inlineStr">
        <is>
          <t>Contabilidad</t>
        </is>
      </c>
      <c r="C22" s="70" t="inlineStr">
        <is>
          <t>EEFF Junio</t>
        </is>
      </c>
      <c r="D22" s="70" t="inlineStr">
        <is>
          <t>07-JUL</t>
        </is>
      </c>
      <c r="E22" s="70" t="inlineStr">
        <is>
          <t>Contabilidad</t>
        </is>
      </c>
      <c r="F22" s="70" t="inlineStr">
        <is>
          <t>PENDIENTE</t>
        </is>
      </c>
      <c r="G22" s="70" t="inlineStr">
        <is>
          <t>Para deck cierre</t>
        </is>
      </c>
    </row>
    <row r="23">
      <c r="A23" s="70" t="n">
        <v>18</v>
      </c>
      <c r="B23" s="70" t="inlineStr">
        <is>
          <t>Contenido / Campaña</t>
        </is>
      </c>
      <c r="C23" s="70" t="inlineStr">
        <is>
          <t>Producción videos Día Padre Doctor</t>
        </is>
      </c>
      <c r="D23" s="70" t="inlineStr">
        <is>
          <t>1ra quincena JUN</t>
        </is>
      </c>
      <c r="E23" s="70" t="inlineStr">
        <is>
          <t>Digital</t>
        </is>
      </c>
      <c r="F23" s="70" t="inlineStr">
        <is>
          <t>PENDIENTE</t>
        </is>
      </c>
      <c r="G23" s="70" t="inlineStr"/>
    </row>
    <row r="24">
      <c r="A24" s="70" t="n">
        <v>19</v>
      </c>
      <c r="B24" s="70" t="inlineStr">
        <is>
          <t>Contenido / Campaña</t>
        </is>
      </c>
      <c r="C24" s="70" t="inlineStr">
        <is>
          <t>Grilla regular RRSS — temas trimestre</t>
        </is>
      </c>
      <c r="D24" s="70" t="inlineStr">
        <is>
          <t>JUN continuo</t>
        </is>
      </c>
      <c r="E24" s="70" t="inlineStr">
        <is>
          <t>Redes sociales</t>
        </is>
      </c>
      <c r="F24" s="70" t="inlineStr">
        <is>
          <t>PENDIENTE</t>
        </is>
      </c>
      <c r="G24" s="70" t="inlineStr">
        <is>
          <t>ADNTRO+MyPren+Tam+MQC</t>
        </is>
      </c>
    </row>
    <row r="25">
      <c r="A25" s="70" t="n">
        <v>20</v>
      </c>
      <c r="B25" s="70" t="inlineStr">
        <is>
          <t>Eventos</t>
        </is>
      </c>
      <c r="C25" s="70" t="inlineStr">
        <is>
          <t>Evento Obstetras Piso 13 + nueva presentación</t>
        </is>
      </c>
      <c r="D25" s="70" t="inlineStr">
        <is>
          <t>JUN — fecha por confirmar</t>
        </is>
      </c>
      <c r="E25" s="70" t="inlineStr">
        <is>
          <t>Obstetras</t>
        </is>
      </c>
      <c r="F25" s="70" t="inlineStr">
        <is>
          <t>PENDIENTE</t>
        </is>
      </c>
      <c r="G25" s="70" t="inlineStr">
        <is>
          <t>Definir local</t>
        </is>
      </c>
    </row>
    <row r="26">
      <c r="A26" s="73" t="n">
        <v>21</v>
      </c>
      <c r="B26" s="73" t="inlineStr">
        <is>
          <t>KPIs / Reporting</t>
        </is>
      </c>
      <c r="C26" s="73" t="inlineStr">
        <is>
          <t>Cierre deck MAYO 2026 + insights</t>
        </is>
      </c>
      <c r="D26" s="73" t="inlineStr">
        <is>
          <t>05-JUN</t>
        </is>
      </c>
      <c r="E26" s="73" t="inlineStr">
        <is>
          <t>Interno Dirección</t>
        </is>
      </c>
      <c r="F26" s="73" t="inlineStr">
        <is>
          <t>EN CURSO</t>
        </is>
      </c>
      <c r="G26" s="73" t="inlineStr">
        <is>
          <t>Este deck</t>
        </is>
      </c>
    </row>
    <row r="27">
      <c r="A27" s="70" t="n">
        <v>22</v>
      </c>
      <c r="B27" s="70" t="inlineStr">
        <is>
          <t>KPIs / Reporting</t>
        </is>
      </c>
      <c r="C27" s="70" t="inlineStr">
        <is>
          <t>Reunión semanal lunes 9am revisión KPIs</t>
        </is>
      </c>
      <c r="D27" s="70" t="inlineStr">
        <is>
          <t>Todos los lunes JUN</t>
        </is>
      </c>
      <c r="E27" s="70" t="inlineStr">
        <is>
          <t>Interno Marketing</t>
        </is>
      </c>
      <c r="F27" s="70" t="inlineStr">
        <is>
          <t>PENDIENTE</t>
        </is>
      </c>
      <c r="G27" s="70" t="inlineStr">
        <is>
          <t>Cadencia</t>
        </is>
      </c>
    </row>
    <row r="29">
      <c r="A29" s="64" t="inlineStr">
        <is>
          <t>Pintar de VERDE cada acción al cerrarla. Revisión semanal lunes 9am.</t>
        </is>
      </c>
    </row>
    <row r="30">
      <c r="A30" s="64" t="inlineStr">
        <is>
          <t>Pendientes adicionales: CRONOGRAMA 2026 FINAL.xlsx + Plan de Marketing.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10" customWidth="1" min="3" max="3"/>
    <col width="90" customWidth="1" min="4" max="4"/>
  </cols>
  <sheetData>
    <row r="1">
      <c r="A1" s="60" t="inlineStr">
        <is>
          <t>FUENTES DE DATOS — Enlaces a OneDrive por módulo</t>
        </is>
      </c>
    </row>
    <row r="2">
      <c r="A2" s="61" t="inlineStr">
        <is>
          <t>Click en cualquier link para abrir el archivo crudo.</t>
        </is>
      </c>
    </row>
    <row r="4">
      <c r="A4" s="62" t="inlineStr">
        <is>
          <t>Módulo del deck</t>
        </is>
      </c>
      <c r="B4" s="62" t="inlineStr">
        <is>
          <t>Archivo / Carpeta</t>
        </is>
      </c>
      <c r="C4" s="62" t="inlineStr">
        <is>
          <t>Tipo</t>
        </is>
      </c>
      <c r="D4" s="62" t="inlineStr">
        <is>
          <t>Link OneDrive</t>
        </is>
      </c>
    </row>
    <row r="5">
      <c r="A5" s="74" t="inlineStr">
        <is>
          <t>HOJA TOTAL — KPIs consolidados</t>
        </is>
      </c>
      <c r="B5" s="74" t="inlineStr">
        <is>
          <t>SEGUIMIENTO PROSPECCION 2026.xlsx</t>
        </is>
      </c>
      <c r="C5" s="74" t="inlineStr">
        <is>
          <t>xlsx</t>
        </is>
      </c>
      <c r="D5" s="75" t="inlineStr">
        <is>
          <t>https://pecriocord-my.sharepoint.com/personal/dwalcheff_criocord_com_pe/Documents/4.%20MARKETING/1.%20ADMINISTRATIVO%20PROMOCION/SEGUIMIENTO%20DE%20PROSPECCION/2026/SEGUIMIENTO%20PROSPECCION%202026.xlsx</t>
        </is>
      </c>
    </row>
    <row r="6">
      <c r="A6" s="74" t="inlineStr">
        <is>
          <t>HOJA TOTAL — Histórico YoY</t>
        </is>
      </c>
      <c r="B6" s="74" t="inlineStr">
        <is>
          <t>SEGUIMIENTO KPIS 2025.xlsx</t>
        </is>
      </c>
      <c r="C6" s="74" t="inlineStr">
        <is>
          <t>xlsx</t>
        </is>
      </c>
      <c r="D6" s="75" t="inlineStr">
        <is>
          <t>https://pecriocord-my.sharepoint.com/personal/dwalcheff_criocord_com_pe/Documents/4.%20MARKETING/1.%20ADMINISTRATIVO%20PROMOCION/RESULTADOS%20COM-MKT/DECKS%20DE%20MARKETING/SEGUIMIENTO%20KPIS%202025.xlsx</t>
        </is>
      </c>
    </row>
    <row r="7">
      <c r="A7" s="74" t="inlineStr">
        <is>
          <t>HOJA TOTAL — Inversión Marketing</t>
        </is>
      </c>
      <c r="B7" s="74" t="inlineStr">
        <is>
          <t>PPTO CONSOLIDADO MKT DW.xlsx</t>
        </is>
      </c>
      <c r="C7" s="74" t="inlineStr">
        <is>
          <t>xlsx</t>
        </is>
      </c>
      <c r="D7" s="75" t="inlineStr">
        <is>
          <t>https://pecriocord-my.sharepoint.com/personal/murteaga_criocord_com_pe/Documents/Documentos/Marketing/Presupuestos/2026/PPTO%20CONSOLIDADO%20MKT%20DW.xlsx</t>
        </is>
      </c>
    </row>
    <row r="8">
      <c r="A8" s="74" t="inlineStr">
        <is>
          <t>SEGUIMIENTO INTERNO — Prospección detalle</t>
        </is>
      </c>
      <c r="B8" s="74" t="inlineStr">
        <is>
          <t>SEGUIMIENTO PROSPECCION 2026.xlsx</t>
        </is>
      </c>
      <c r="C8" s="74" t="inlineStr">
        <is>
          <t>xlsx</t>
        </is>
      </c>
      <c r="D8" s="75" t="inlineStr">
        <is>
          <t>https://pecriocord-my.sharepoint.com/personal/dwalcheff_criocord_com_pe/Documents/4.%20MARKETING/1.%20ADMINISTRATIVO%20PROMOCION/SEGUIMIENTO%20DE%20PROSPECCION/2026/SEGUIMIENTO%20PROSPECCION%202026.xlsx</t>
        </is>
      </c>
    </row>
    <row r="9">
      <c r="A9" s="74" t="inlineStr">
        <is>
          <t>SEGUIMIENTO EXTERNO — Gastos TC (Meta/Google)</t>
        </is>
      </c>
      <c r="B9" s="74" t="inlineStr">
        <is>
          <t>MKT - GASTOS TC 2026.xlsx</t>
        </is>
      </c>
      <c r="C9" s="74" t="inlineStr">
        <is>
          <t>xlsx</t>
        </is>
      </c>
      <c r="D9" s="75" t="inlineStr">
        <is>
          <t>https://pecriocord-my.sharepoint.com/personal/dwalcheff_criocord_com_pe/Documents/4.%20MARKETING/1.%20ADMINISTRATIVO%20PROMOCION/COMPRAS%20Y%20PRESUPUESTO/2026/MKT%20-%20GASTOS%20TC%202026.xlsx</t>
        </is>
      </c>
    </row>
    <row r="10">
      <c r="A10" s="74" t="inlineStr">
        <is>
          <t>SEGUIMIENTO EXTERNO — Matriz Contenidos</t>
        </is>
      </c>
      <c r="B10" s="74" t="inlineStr">
        <is>
          <t>MATRIZ DE CONTENIDOS - CRIOCORD.xlsx</t>
        </is>
      </c>
      <c r="C10" s="74" t="inlineStr">
        <is>
          <t>xlsx</t>
        </is>
      </c>
      <c r="D10" s="75" t="inlineStr">
        <is>
          <t>https://pecriocord-my.sharepoint.com/personal/ccarrasco_criocord_com_pe/Documents/MATRIZ%20DE%20CONTENIDOS%20AGOSTO%20-%20CRIOCORD.xlsx</t>
        </is>
      </c>
    </row>
    <row r="11">
      <c r="A11" s="74" t="inlineStr">
        <is>
          <t>SEGUIMIENTO EXTERNO — Funnel Perú</t>
        </is>
      </c>
      <c r="B11" s="74" t="inlineStr">
        <is>
          <t>Funnel Perú.xlsx</t>
        </is>
      </c>
      <c r="C11" s="74" t="inlineStr">
        <is>
          <t>xlsx</t>
        </is>
      </c>
      <c r="D11" s="75" t="inlineStr">
        <is>
          <t>https://pecriocord-my.sharepoint.com/personal/dwalcheff_criocord_com_pe/Documents/4.%20MARKETING/RECURSOS%20DE%20ANALISIS/Funnel%20Per%C3%BA.xlsx</t>
        </is>
      </c>
    </row>
    <row r="12">
      <c r="A12" s="74" t="inlineStr">
        <is>
          <t>VISITA MÉDICA — Carpeta CrioCord 2026</t>
        </is>
      </c>
      <c r="B12" s="74" t="inlineStr">
        <is>
          <t>VISITA MEDICA 2026/CRIOCORD</t>
        </is>
      </c>
      <c r="C12" s="74" t="inlineStr">
        <is>
          <t>carpeta</t>
        </is>
      </c>
      <c r="D12" s="75" t="inlineStr">
        <is>
          <t>https://pecriocord-my.sharepoint.com/personal/dwalcheff_criocord_com_pe/Documents/2.%20VISITA%20M%C3%89DICA/VISITA%20MEDICA%202026/CRIOCORD</t>
        </is>
      </c>
    </row>
    <row r="13">
      <c r="A13" s="74" t="inlineStr">
        <is>
          <t>VISITA MÉDICA — Histórico Reportes Mensuales</t>
        </is>
      </c>
      <c r="B13" s="74" t="inlineStr">
        <is>
          <t>REPORTE MENSUAL DE VISITA MÉDICA</t>
        </is>
      </c>
      <c r="C13" s="74" t="inlineStr">
        <is>
          <t>carpeta</t>
        </is>
      </c>
      <c r="D13" s="75" t="inlineStr">
        <is>
          <t>https://pecriocord-my.sharepoint.com/personal/dwalcheff_criocord_com_pe/Documents/2.%20VISITA%20M%C3%89DICA/VISITA%20MEDICA%202025/LAZO%20DE%20VIDA/VISITADOR%20LIMA%20-%20LDV/REPORTE%20MENSUAL%20DE%20VISITA%20M%C3%89DICA</t>
        </is>
      </c>
    </row>
    <row r="14">
      <c r="A14" s="74" t="inlineStr">
        <is>
          <t>VISITA MÉDICA — Kit Clínicas</t>
        </is>
      </c>
      <c r="B14" s="74" t="inlineStr">
        <is>
          <t>SEGUIMIENTO KIT CLINICAS.xlsx</t>
        </is>
      </c>
      <c r="C14" s="74" t="inlineStr">
        <is>
          <t>xlsx</t>
        </is>
      </c>
      <c r="D14" s="75" t="inlineStr">
        <is>
          <t>https://pecriocord-my.sharepoint.com/personal/dwalcheff_criocord_com_pe/Documents/2.%20VISITA%20M%C3%89DICA/VISITA%20MEDICA%202026/MKT%20-%20DATA/SEGUIMIENTO%20KIT%20CLINICAS.xlsx</t>
        </is>
      </c>
    </row>
    <row r="15">
      <c r="A15" s="74" t="inlineStr">
        <is>
          <t>CRONOGRAMA JUNIO — Cronograma anual oficial</t>
        </is>
      </c>
      <c r="B15" s="74" t="inlineStr">
        <is>
          <t>CRONOGRAMA 2026 FINAL.xlsx</t>
        </is>
      </c>
      <c r="C15" s="74" t="inlineStr">
        <is>
          <t>xlsx</t>
        </is>
      </c>
      <c r="D15" s="75" t="inlineStr">
        <is>
          <t>https://pecriocord-my.sharepoint.com/personal/dwalcheff_criocord_com_pe/Documents/Daniel%20Walcheff%20-%20Personal/2025/SEGUIMIENTOS%20PERSONALES/CRONOGRAMA%202026%20FINAL.xlsx</t>
        </is>
      </c>
    </row>
    <row r="16">
      <c r="A16" s="74" t="inlineStr">
        <is>
          <t>EQUIPO COMERCIAL — Detalle por persona</t>
        </is>
      </c>
      <c r="B16" s="74" t="inlineStr">
        <is>
          <t>SEGUIMIENTO PROSPECCION 2026.xlsx (cols por nombre)</t>
        </is>
      </c>
      <c r="C16" s="74" t="inlineStr">
        <is>
          <t>xlsx</t>
        </is>
      </c>
      <c r="D16" s="75" t="inlineStr">
        <is>
          <t>https://pecriocord-my.sharepoint.com/personal/dwalcheff_criocord_com_pe/Documents/4.%20MARKETING/1.%20ADMINISTRATIVO%20PROMOCION/SEGUIMIENTO%20DE%20PROSPECCION/2026/SEGUIMIENTO%20PROSPECCION%202026.xlsx</t>
        </is>
      </c>
    </row>
    <row r="17">
      <c r="A17" s="74" t="inlineStr">
        <is>
          <t>NOTAS — Cálculo de ROI sustento</t>
        </is>
      </c>
      <c r="B17" s="74" t="inlineStr">
        <is>
          <t>CALCULO DE ROI.xlsx</t>
        </is>
      </c>
      <c r="C17" s="74" t="inlineStr">
        <is>
          <t>xlsx</t>
        </is>
      </c>
      <c r="D17" s="75" t="inlineStr">
        <is>
          <t>https://pecriocord-my.sharepoint.com/personal/dwalcheff_criocord_com_pe/Documents/4.%20MARKETING/1.%20ADMINISTRATIVO%20PROMOCION/RESULTADOS%20COM-MKT/CALCULOS/CALCULO%20DE%20ROI.xlsx</t>
        </is>
      </c>
    </row>
    <row r="18">
      <c r="A18" s="74" t="inlineStr">
        <is>
          <t>REVIEWS — Formato Corporativo Cryoholdco</t>
        </is>
      </c>
      <c r="B18" s="74" t="inlineStr">
        <is>
          <t>PERU RESULTADOS MARZO 2026.pptx</t>
        </is>
      </c>
      <c r="C18" s="74" t="inlineStr">
        <is>
          <t>pptx</t>
        </is>
      </c>
      <c r="D18" s="75" t="inlineStr">
        <is>
          <t>https://pecriocord-my.sharepoint.com/personal/dwalcheff_criocord_com_pe/Documents/4.%20MARKETING/8.%20BRANDING/CRYOHOLDCO/PRESENTACIONES/2026/PERU%20RESULTADOS%20MARZO%202026.pptx</t>
        </is>
      </c>
    </row>
    <row r="19">
      <c r="A19" s="74" t="inlineStr">
        <is>
          <t>BRIEFS DE MARCA</t>
        </is>
      </c>
      <c r="B19" s="74" t="inlineStr">
        <is>
          <t>CRIOCORD BRIEF.docx</t>
        </is>
      </c>
      <c r="C19" s="74" t="inlineStr">
        <is>
          <t>docx</t>
        </is>
      </c>
      <c r="D19" s="75" t="inlineStr">
        <is>
          <t>https://pecriocord-my.sharepoint.com/personal/dwalcheff_criocord_com_pe/Documents/4.%20MARKETING/BRIEFS%20DE%20MARCA%20-%20PER%C3%9A/CRIOCORD%20BRIEF.docx</t>
        </is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7"/>
  <sheetViews>
    <sheetView zoomScaleNormal="100" workbookViewId="0">
      <selection activeCell="A1" sqref="A1"/>
    </sheetView>
  </sheetViews>
  <sheetFormatPr baseColWidth="10" defaultColWidth="8.7109375" defaultRowHeight="15"/>
  <cols>
    <col width="105" customWidth="1" min="1" max="1"/>
  </cols>
  <sheetData>
    <row r="1" ht="15" customHeight="1">
      <c r="A1" s="31" t="inlineStr">
        <is>
          <t>HOJA TOTAL — Notas v6 (ABRIL 2026) — con ROI vs ROAS</t>
        </is>
      </c>
    </row>
    <row r="2" ht="15" customHeight="1">
      <c r="A2" s="32" t="n"/>
    </row>
    <row r="3" ht="15" customHeight="1">
      <c r="A3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" ht="15" customHeight="1">
      <c r="A4" s="31" t="inlineStr">
        <is>
          <t xml:space="preserve">  ROI vs ROAS — Dos métricas distintas</t>
        </is>
      </c>
    </row>
    <row r="5" ht="15" customHeight="1">
      <c r="A5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6" ht="15" customHeight="1">
      <c r="A6" s="32" t="n"/>
    </row>
    <row r="7" ht="15" customHeight="1">
      <c r="A7" s="31" t="inlineStr">
        <is>
          <t>ROAS (Return on Ad Spend) = Venta total / Inversión</t>
        </is>
      </c>
    </row>
    <row r="8" ht="15" customHeight="1">
      <c r="A8" s="32" t="inlineStr">
        <is>
          <t>• Mide ingresos brutos generados por cada sol invertido</t>
        </is>
      </c>
    </row>
    <row r="9" ht="15" customHeight="1">
      <c r="A9" s="32" t="inlineStr">
        <is>
          <t>• ABRIL: S/ 132,824.76 / S/ 19,968.47 = 6.65x</t>
        </is>
      </c>
    </row>
    <row r="10" ht="15" customHeight="1">
      <c r="A10" s="32" t="inlineStr">
        <is>
          <t>• Lectura: "Cada S/ 1 invertido GENERA S/ 6.65 en ingresos brutos"</t>
        </is>
      </c>
    </row>
    <row r="11" ht="15" customHeight="1">
      <c r="A11" s="32" t="n"/>
    </row>
    <row r="12" ht="15" customHeight="1">
      <c r="A12" s="31" t="inlineStr">
        <is>
          <t>ROI (Return on Investment) = (Venta − Inversión) / Inversión</t>
        </is>
      </c>
    </row>
    <row r="13" ht="15" customHeight="1">
      <c r="A13" s="32" t="inlineStr">
        <is>
          <t>• Mide ganancia neta sobre la inversión</t>
        </is>
      </c>
    </row>
    <row r="14" ht="15" customHeight="1">
      <c r="A14" s="32" t="inlineStr">
        <is>
          <t>• ABRIL: (S/ 132,824.76 − S/ 19,968.47) / S/ 19,968.47 = 5.65 = +565%</t>
        </is>
      </c>
    </row>
    <row r="15" ht="15" customHeight="1">
      <c r="A15" s="32" t="inlineStr">
        <is>
          <t>• Lectura: "Cada S/ 1 invertido DEVUELVE S/ 5.65 netos" (ganancia)</t>
        </is>
      </c>
    </row>
    <row r="16" ht="15" customHeight="1">
      <c r="A16" s="32" t="n"/>
    </row>
    <row r="17" ht="15" customHeight="1">
      <c r="A17" s="31" t="inlineStr">
        <is>
          <t>Relación matemática:</t>
        </is>
      </c>
    </row>
    <row r="18" ht="15" customHeight="1">
      <c r="A18" s="32" t="inlineStr">
        <is>
          <t xml:space="preserve">  ROAS = ROI + 1  →  5.65 + 1 = 6.65 ✓</t>
        </is>
      </c>
    </row>
    <row r="19" ht="15" customHeight="1">
      <c r="A19" s="32" t="n"/>
    </row>
    <row r="20" ht="15" customHeight="1">
      <c r="A20" s="31" t="inlineStr">
        <is>
          <t>Desglose por cada S/ 1 invertido en ABRIL:</t>
        </is>
      </c>
    </row>
    <row r="21" ht="15" customHeight="1">
      <c r="A21" s="32" t="inlineStr">
        <is>
          <t xml:space="preserve">  ┌────────────────────────────────────────────┐</t>
        </is>
      </c>
    </row>
    <row r="22" ht="15" customHeight="1">
      <c r="A22" s="32" t="inlineStr">
        <is>
          <t xml:space="preserve">  │ S/ 1.00  ←  Inversión inicial (recuperada) │</t>
        </is>
      </c>
    </row>
    <row r="23" ht="15" customHeight="1">
      <c r="A23" s="32" t="inlineStr">
        <is>
          <t xml:space="preserve">  │ + S/ 5.65 ←  Ganancia neta (ROI)           │</t>
        </is>
      </c>
    </row>
    <row r="24" ht="15" customHeight="1">
      <c r="A24" s="32" t="inlineStr">
        <is>
          <t xml:space="preserve">  │ = S/ 6.65 ←  Ingreso total bruto (ROAS)    │</t>
        </is>
      </c>
    </row>
    <row r="25" ht="15" customHeight="1">
      <c r="A25" s="32" t="inlineStr">
        <is>
          <t xml:space="preserve">  └────────────────────────────────────────────┘</t>
        </is>
      </c>
    </row>
    <row r="26" ht="15" customHeight="1">
      <c r="A26" s="32" t="n"/>
    </row>
    <row r="27" ht="15" customHeight="1">
      <c r="A27" s="31" t="inlineStr">
        <is>
          <t>¿Cuándo usar cada uno?</t>
        </is>
      </c>
    </row>
    <row r="28" ht="15" customHeight="1">
      <c r="A28" s="32" t="inlineStr">
        <is>
          <t>• ROAS — para comunicar performance de canales/campañas (común en MKT digital)</t>
        </is>
      </c>
    </row>
    <row r="29" ht="15" customHeight="1">
      <c r="A29" s="32" t="inlineStr">
        <is>
          <t>• ROI — para análisis financiero, evaluar rentabilidad real</t>
        </is>
      </c>
    </row>
    <row r="30" ht="15" customHeight="1">
      <c r="A30" s="32" t="inlineStr">
        <is>
          <t>• En reportes ejecutivos, mostrar AMBOS evita confusión</t>
        </is>
      </c>
    </row>
    <row r="31" ht="15" customHeight="1">
      <c r="A31" s="32" t="n"/>
    </row>
    <row r="32" ht="15" customHeight="1">
      <c r="A32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33" ht="15" customHeight="1">
      <c r="A33" s="31" t="inlineStr">
        <is>
          <t xml:space="preserve">  EMBUDO ABRIL 2026</t>
        </is>
      </c>
    </row>
    <row r="34" ht="15" customHeight="1">
      <c r="A34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35" ht="15" customHeight="1">
      <c r="A35" s="32" t="inlineStr">
        <is>
          <t xml:space="preserve">  LEADS GENERADOS              = 5,475</t>
        </is>
      </c>
    </row>
    <row r="36" ht="15" customHeight="1">
      <c r="A36" s="32" t="inlineStr">
        <is>
          <t xml:space="preserve">  PROSPECTOS INGRESADOS        = 3,347   (61.1% de leads)</t>
        </is>
      </c>
    </row>
    <row r="37" ht="15" customHeight="1">
      <c r="A37" s="32" t="inlineStr">
        <is>
          <t xml:space="preserve">  PROSPECTOS VÁLIDOS           = 1,417   (42.3% de ingresados)</t>
        </is>
      </c>
    </row>
    <row r="38" ht="15" customHeight="1">
      <c r="A38" s="32" t="inlineStr">
        <is>
          <t xml:space="preserve">  SERVICIOS CERRADOS           = 49      (3.5% de válidos)</t>
        </is>
      </c>
    </row>
    <row r="39" ht="15" customHeight="1">
      <c r="A39" s="32" t="n"/>
    </row>
    <row r="40" ht="15" customHeight="1">
      <c r="A40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1" ht="15" customHeight="1">
      <c r="A41" s="31" t="inlineStr">
        <is>
          <t xml:space="preserve">  MONTO 26 ABRIL — S/ 19,968.47</t>
        </is>
      </c>
    </row>
    <row r="42" ht="15" customHeight="1">
      <c r="A42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43" ht="15" customHeight="1">
      <c r="A43" s="31" t="inlineStr">
        <is>
          <t>INCLUIDO:</t>
        </is>
      </c>
    </row>
    <row r="44" ht="15" customHeight="1">
      <c r="A44" s="32" t="inlineStr">
        <is>
          <t xml:space="preserve">  Online (PPTO subtotal)             S/  9,624.25</t>
        </is>
      </c>
    </row>
    <row r="45" ht="15" customHeight="1">
      <c r="A45" s="32" t="inlineStr">
        <is>
          <t xml:space="preserve">  Offline materiales (PPTO subtot)   S/  2,730.09</t>
        </is>
      </c>
    </row>
    <row r="46" ht="15" customHeight="1">
      <c r="A46" s="32" t="inlineStr">
        <is>
          <t xml:space="preserve">  Campañas                            S/      0.00</t>
        </is>
      </c>
    </row>
    <row r="47" ht="15" customHeight="1">
      <c r="A47" s="32" t="inlineStr">
        <is>
          <t xml:space="preserve">  + Expoferia Maternidad Lima         S/  2,929.53</t>
        </is>
      </c>
    </row>
    <row r="48" ht="15" customHeight="1">
      <c r="A48" s="32" t="inlineStr">
        <is>
          <t xml:space="preserve">  + Catering Obstetras Criocord       S/  4,684.60</t>
        </is>
      </c>
    </row>
    <row r="49" ht="15" customHeight="1">
      <c r="A49" s="32" t="inlineStr">
        <is>
          <t xml:space="preserve">  ──────────────────────────────────────────────</t>
        </is>
      </c>
    </row>
    <row r="50" ht="15" customHeight="1">
      <c r="A50" s="32" t="inlineStr">
        <is>
          <t xml:space="preserve">  TOTAL                              S/ 19,968.47</t>
        </is>
      </c>
    </row>
    <row r="51" ht="15" customHeight="1">
      <c r="A51" s="32" t="n"/>
    </row>
    <row r="52" ht="15" customHeight="1">
      <c r="A52" s="31" t="inlineStr">
        <is>
          <t>EXCLUIDO:</t>
        </is>
      </c>
    </row>
    <row r="53" ht="15" customHeight="1">
      <c r="A53" s="32" t="inlineStr">
        <is>
          <t>• Viajes y provincias (Velia/Adler — Lima/Tacna/Cusco/Trujillo)</t>
        </is>
      </c>
    </row>
    <row r="54" ht="15" customHeight="1">
      <c r="A54" s="32" t="inlineStr">
        <is>
          <t>• Caja Chica MKT, Bolsas/Kits, Entrenamiento Olga Soto</t>
        </is>
      </c>
    </row>
    <row r="55" ht="15" customHeight="1">
      <c r="A55" s="32" t="inlineStr">
        <is>
          <t>• Wati COMERCIALES, Wati ANUAL Suscripción, Capcut, Calendly, N8n, Zapier</t>
        </is>
      </c>
    </row>
    <row r="56" ht="15" customHeight="1">
      <c r="A56" s="32" t="inlineStr">
        <is>
          <t>• Sala Fairfield Apr, Inicio Ciclo Catering Apr (no pedidos explícitamente)</t>
        </is>
      </c>
    </row>
    <row r="57" ht="15" customHeight="1">
      <c r="A57" s="32" t="n"/>
    </row>
    <row r="58" ht="15" customHeight="1">
      <c r="A58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59" ht="15" customHeight="1">
      <c r="A59" s="31" t="inlineStr">
        <is>
          <t xml:space="preserve">  KPIs ABRIL FINALES</t>
        </is>
      </c>
    </row>
    <row r="60" ht="15" customHeight="1">
      <c r="A60" s="32" t="inlineStr">
        <is>
          <t>══════════════════════════════════════════════════════════════</t>
        </is>
      </c>
    </row>
    <row r="61" ht="15" customHeight="1">
      <c r="A61" s="32" t="inlineStr">
        <is>
          <t>• % vs LY        = 1,417 / 2,209 − 1 = −35.9%</t>
        </is>
      </c>
    </row>
    <row r="62" ht="15" customHeight="1">
      <c r="A62" s="32" t="inlineStr">
        <is>
          <t>• % VALIDACIÓN   = 1,417 / 3,347 = 42.3%</t>
        </is>
      </c>
    </row>
    <row r="63" ht="15" customHeight="1">
      <c r="A63" s="32" t="inlineStr">
        <is>
          <t>• % TC 26        = 49 / 1,417 = 3.5%</t>
        </is>
      </c>
    </row>
    <row r="64" ht="15" customHeight="1">
      <c r="A64" s="32" t="inlineStr">
        <is>
          <t>• CAC            = S/ 19,968.47 / 1,417 = S/ 14.09</t>
        </is>
      </c>
    </row>
    <row r="65" ht="15" customHeight="1">
      <c r="A65" s="32" t="inlineStr">
        <is>
          <t>• LEAD A PROSP   = 1,417 / 5,475 = 25.9%</t>
        </is>
      </c>
    </row>
    <row r="66" ht="15" customHeight="1">
      <c r="A66" s="32" t="inlineStr">
        <is>
          <t>• S/ por Serv    = S/ 19,968.47 / 49 = S/ 407.52</t>
        </is>
      </c>
    </row>
    <row r="67" ht="15" customHeight="1">
      <c r="A67" s="32" t="inlineStr">
        <is>
          <t>• ROAS           = S/ 132,824.76 / S/ 19,968.47 = 6.65x</t>
        </is>
      </c>
    </row>
    <row r="68" ht="15" customHeight="1">
      <c r="A68" s="32" t="inlineStr">
        <is>
          <t>• ROI            = (S/132,824.76 − S/19,968.47) / S/19,968.47 = +565%</t>
        </is>
      </c>
    </row>
    <row r="70">
      <c r="A70" t="inlineStr"/>
    </row>
    <row r="71">
      <c r="A71" t="inlineStr">
        <is>
          <t>═══════════════════════════════════════════════════════════</t>
        </is>
      </c>
    </row>
    <row r="72">
      <c r="A72" t="inlineStr">
        <is>
          <t xml:space="preserve">  NOTA IMPORTANTE — ROI / ROAS TEMPORAL (Mayo 2026)</t>
        </is>
      </c>
    </row>
    <row r="73">
      <c r="A73" t="inlineStr">
        <is>
          <t>═══════════════════════════════════════════════════════════</t>
        </is>
      </c>
    </row>
    <row r="74">
      <c r="A74" t="inlineStr">
        <is>
          <t>Por ahora el ROI y ROAS se calculan con INGRESOS BRUTOS (Venta)</t>
        </is>
      </c>
    </row>
    <row r="75">
      <c r="A75" t="inlineStr">
        <is>
          <t>como fuente. El ROI definitivo se recalculará con UTILIDAD NETA</t>
        </is>
      </c>
    </row>
    <row r="76">
      <c r="A76" t="inlineStr">
        <is>
          <t>cuando contabilidad libere la data financiera mensual.</t>
        </is>
      </c>
    </row>
    <row r="77">
      <c r="A77" t="inlineStr"/>
    </row>
    <row r="78">
      <c r="A78" t="inlineStr">
        <is>
          <t>• ROAS con ingresos: válido tal cual.</t>
        </is>
      </c>
    </row>
    <row r="79">
      <c r="A79" t="inlineStr">
        <is>
          <t>• ROI con ingresos: aproximación; el ROI verdadero requiere utilidad.</t>
        </is>
      </c>
    </row>
    <row r="80">
      <c r="A80" t="inlineStr">
        <is>
          <t>• Cuando llegue la utilidad real, reemplazar Venta por Utilidad Neta</t>
        </is>
      </c>
    </row>
    <row r="81">
      <c r="A81" t="inlineStr">
        <is>
          <t xml:space="preserve">  en las filas 32 y 34 del Hoja TOTAL.</t>
        </is>
      </c>
    </row>
    <row r="82">
      <c r="A82" t="inlineStr"/>
    </row>
    <row r="83">
      <c r="A83" t="inlineStr">
        <is>
          <t>═══════════════════════════════════════════════════════════</t>
        </is>
      </c>
    </row>
    <row r="84">
      <c r="A84" t="inlineStr">
        <is>
          <t xml:space="preserve">  ESTRUCTURA v7 — CAMBIOS vs vNEXT</t>
        </is>
      </c>
    </row>
    <row r="85">
      <c r="A85" t="inlineStr">
        <is>
          <t>═══════════════════════════════════════════════════════════</t>
        </is>
      </c>
    </row>
    <row r="86">
      <c r="A86" t="inlineStr"/>
    </row>
    <row r="87">
      <c r="A87" t="inlineStr">
        <is>
          <t>• Se reemplaza 'Inbound' por SEGUIMIENTO INTERNO + SEGUIMIENTO EXTERNO.</t>
        </is>
      </c>
    </row>
    <row r="88">
      <c r="A88" t="inlineStr"/>
    </row>
    <row r="89">
      <c r="A89" t="inlineStr">
        <is>
          <t>• Equipo Comercial CrioCord — reestructura:</t>
        </is>
      </c>
    </row>
    <row r="90">
      <c r="A90" t="inlineStr">
        <is>
          <t xml:space="preserve">    VISITADORES MÉDICOS (CAPTACIÓN — no venta directa):</t>
        </is>
      </c>
    </row>
    <row r="91">
      <c r="A91" t="inlineStr">
        <is>
          <t xml:space="preserve">      Milagros Herrera | Marilyn | Velia | Diana (placeholder)</t>
        </is>
      </c>
    </row>
    <row r="92">
      <c r="A92" t="inlineStr">
        <is>
          <t xml:space="preserve">    ASESORES COMERCIALES (cierre de venta):</t>
        </is>
      </c>
    </row>
    <row r="93">
      <c r="A93" t="inlineStr">
        <is>
          <t xml:space="preserve">      SKN Heinrich | Adler | Liseth | Carolina</t>
        </is>
      </c>
    </row>
    <row r="94">
      <c r="A94" t="inlineStr"/>
    </row>
    <row r="95">
      <c r="A95" t="inlineStr">
        <is>
          <t>• Cronograma JUNIO 2026 — VERDE=hecho, AMARILLO=en curso, GRIS=pendiente.</t>
        </is>
      </c>
    </row>
    <row r="96">
      <c r="A96" t="inlineStr"/>
    </row>
    <row r="97">
      <c r="A97" t="inlineStr">
        <is>
          <t>• Hoja FUENTES — enlaces directos a cada archivo OneDrive.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2026-05-15T03:24:51Z</dcterms:created>
  <dcterms:modified xmlns:dcterms="http://purl.org/dc/terms/" xmlns:xsi="http://www.w3.org/2001/XMLSchema-instance" xsi:type="dcterms:W3CDTF">2026-05-26T10:54:33Z</dcterms:modified>
  <cp:lastModifiedBy>Daniel Walcheff</cp:lastModifiedBy>
  <cp:revision>0</cp:revision>
</cp:coreProperties>
</file>