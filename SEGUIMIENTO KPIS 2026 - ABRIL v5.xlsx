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WALCHEFF\Documents\DECK DE MARKETING\"/>
    </mc:Choice>
  </mc:AlternateContent>
  <xr:revisionPtr revIDLastSave="0" documentId="13_ncr:1_{F4383587-F00B-4B3C-816A-AFB7E3F9EF16}" xr6:coauthVersionLast="47" xr6:coauthVersionMax="47" xr10:uidLastSave="{00000000-0000-0000-0000-000000000000}"/>
  <bookViews>
    <workbookView xWindow="4200" yWindow="4170" windowWidth="21600" windowHeight="11235" tabRatio="500" xr2:uid="{00000000-000D-0000-FFFF-FFFF00000000}"/>
  </bookViews>
  <sheets>
    <sheet name="TOTAL" sheetId="1" r:id="rId1"/>
    <sheet name="NO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4" i="1" l="1"/>
  <c r="E34" i="1"/>
  <c r="C30" i="1"/>
  <c r="E30" i="1"/>
  <c r="B35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N38" i="1"/>
  <c r="M35" i="1"/>
  <c r="L35" i="1"/>
  <c r="K35" i="1"/>
  <c r="J35" i="1"/>
  <c r="I35" i="1"/>
  <c r="H35" i="1"/>
  <c r="G35" i="1"/>
  <c r="F35" i="1"/>
  <c r="E35" i="1"/>
  <c r="D35" i="1"/>
  <c r="C35" i="1"/>
  <c r="M34" i="1"/>
  <c r="L34" i="1"/>
  <c r="K34" i="1"/>
  <c r="J34" i="1"/>
  <c r="I34" i="1"/>
  <c r="H34" i="1"/>
  <c r="G34" i="1"/>
  <c r="F34" i="1"/>
  <c r="D34" i="1"/>
  <c r="C34" i="1"/>
  <c r="N32" i="1"/>
  <c r="M31" i="1"/>
  <c r="J31" i="1"/>
  <c r="M30" i="1"/>
  <c r="L30" i="1"/>
  <c r="K30" i="1"/>
  <c r="J30" i="1"/>
  <c r="I30" i="1"/>
  <c r="H30" i="1"/>
  <c r="G30" i="1"/>
  <c r="F30" i="1"/>
  <c r="D30" i="1"/>
  <c r="B30" i="1"/>
  <c r="N30" i="1" s="1"/>
  <c r="M29" i="1"/>
  <c r="L29" i="1"/>
  <c r="M26" i="1"/>
  <c r="L26" i="1"/>
  <c r="K26" i="1"/>
  <c r="J26" i="1"/>
  <c r="I26" i="1"/>
  <c r="H26" i="1"/>
  <c r="G26" i="1"/>
  <c r="F26" i="1"/>
  <c r="E26" i="1"/>
  <c r="D26" i="1"/>
  <c r="C26" i="1"/>
  <c r="B26" i="1"/>
  <c r="N26" i="1" s="1"/>
  <c r="N25" i="1"/>
  <c r="N24" i="1"/>
  <c r="N23" i="1"/>
  <c r="N22" i="1"/>
  <c r="M19" i="1"/>
  <c r="M40" i="1" s="1"/>
  <c r="L19" i="1"/>
  <c r="L40" i="1" s="1"/>
  <c r="K19" i="1"/>
  <c r="K40" i="1" s="1"/>
  <c r="J19" i="1"/>
  <c r="J40" i="1" s="1"/>
  <c r="I19" i="1"/>
  <c r="I29" i="1" s="1"/>
  <c r="H19" i="1"/>
  <c r="H29" i="1" s="1"/>
  <c r="G19" i="1"/>
  <c r="G31" i="1" s="1"/>
  <c r="F19" i="1"/>
  <c r="F40" i="1" s="1"/>
  <c r="E19" i="1"/>
  <c r="E40" i="1" s="1"/>
  <c r="D19" i="1"/>
  <c r="D40" i="1" s="1"/>
  <c r="C19" i="1"/>
  <c r="C40" i="1" s="1"/>
  <c r="B19" i="1"/>
  <c r="B40" i="1" s="1"/>
  <c r="N18" i="1"/>
  <c r="N17" i="1"/>
  <c r="N16" i="1"/>
  <c r="N15" i="1"/>
  <c r="M12" i="1"/>
  <c r="L12" i="1"/>
  <c r="K12" i="1"/>
  <c r="J12" i="1"/>
  <c r="I12" i="1"/>
  <c r="H12" i="1"/>
  <c r="G12" i="1"/>
  <c r="F12" i="1"/>
  <c r="E12" i="1"/>
  <c r="D12" i="1"/>
  <c r="C12" i="1"/>
  <c r="B12" i="1"/>
  <c r="N11" i="1"/>
  <c r="M10" i="1"/>
  <c r="L10" i="1"/>
  <c r="K10" i="1"/>
  <c r="J10" i="1"/>
  <c r="I10" i="1"/>
  <c r="H10" i="1"/>
  <c r="G10" i="1"/>
  <c r="F10" i="1"/>
  <c r="E10" i="1"/>
  <c r="D10" i="1"/>
  <c r="C10" i="1"/>
  <c r="B10" i="1"/>
  <c r="N9" i="1"/>
  <c r="N12" i="1" s="1"/>
  <c r="N8" i="1"/>
  <c r="N7" i="1"/>
  <c r="N6" i="1"/>
  <c r="N5" i="1"/>
  <c r="C31" i="1" l="1"/>
  <c r="D31" i="1"/>
  <c r="E31" i="1"/>
  <c r="K31" i="1"/>
  <c r="B29" i="1"/>
  <c r="N34" i="1"/>
  <c r="N40" i="1"/>
  <c r="C29" i="1"/>
  <c r="D29" i="1"/>
  <c r="N10" i="1"/>
  <c r="E29" i="1"/>
  <c r="B31" i="1"/>
  <c r="F29" i="1"/>
  <c r="G29" i="1"/>
  <c r="F31" i="1"/>
  <c r="J29" i="1"/>
  <c r="H31" i="1"/>
  <c r="K29" i="1"/>
  <c r="I31" i="1"/>
  <c r="L31" i="1"/>
  <c r="G40" i="1"/>
  <c r="H40" i="1"/>
  <c r="I40" i="1"/>
  <c r="N19" i="1"/>
  <c r="N31" i="1" l="1"/>
  <c r="N29" i="1"/>
</calcChain>
</file>

<file path=xl/sharedStrings.xml><?xml version="1.0" encoding="utf-8"?>
<sst xmlns="http://schemas.openxmlformats.org/spreadsheetml/2006/main" count="106" uniqueCount="99">
  <si>
    <t>HOJA TOTAL - SEGUIMIENTO KPIS 2026 (v3)</t>
  </si>
  <si>
    <t>MÉTRICA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</si>
  <si>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</si>
  <si>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</si>
  <si>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</si>
  <si>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</si>
  <si>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</si>
  <si>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</si>
  <si>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</si>
  <si>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</si>
  <si>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</si>
  <si>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</si>
  <si>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</si>
  <si>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</si>
  <si>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</si>
  <si>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PROSPECTOS</t>
  </si>
  <si>
    <t>INGRESADO 2026</t>
  </si>
  <si>
    <t>MONTO 26 (S/)</t>
  </si>
  <si>
    <t>INGRESADO 2025</t>
  </si>
  <si>
    <t>MONTO 25 (S/)</t>
  </si>
  <si>
    <t>VALIDOS 2026</t>
  </si>
  <si>
    <t>% VALIDACIÓN 2026</t>
  </si>
  <si>
    <t>VALIDOS 2025</t>
  </si>
  <si>
    <t>% vs LY</t>
  </si>
  <si>
    <t>VENTAS POR SERVICIO 2026</t>
  </si>
  <si>
    <t>UCU (CORDONES)</t>
  </si>
  <si>
    <t>ADN</t>
  </si>
  <si>
    <t>TAMIZ (TAMIZAJE)</t>
  </si>
  <si>
    <t>MYPREN (MY PRENATAL)</t>
  </si>
  <si>
    <t>TOTAL SERV 26</t>
  </si>
  <si>
    <t>VENTAS POR SERVICIO 2025</t>
  </si>
  <si>
    <t>UCU 2025</t>
  </si>
  <si>
    <t>ADN 2025</t>
  </si>
  <si>
    <t>TAMIZ 2025</t>
  </si>
  <si>
    <t>MYPREN 2025</t>
  </si>
  <si>
    <t>TOTAL SERV 25</t>
  </si>
  <si>
    <t>KPIs</t>
  </si>
  <si>
    <t>% TC 26 (Tasa de Cierre)</t>
  </si>
  <si>
    <t>CAC (S/ por prospecto válido)</t>
  </si>
  <si>
    <t>S/ por Servicio (Monto/Serv)</t>
  </si>
  <si>
    <t>VENTA (S/ ingresos)</t>
  </si>
  <si>
    <t>ROI % (Retorno Inversión)</t>
  </si>
  <si>
    <t>ROAS (Venta/Inversión)</t>
  </si>
  <si>
    <t>LEADS Y CONVERSIÓN</t>
  </si>
  <si>
    <t>LEADS G.</t>
  </si>
  <si>
    <t>LEAD A PROSPECTO</t>
  </si>
  <si>
    <t>CONVERSION PROSP-CLIENTE</t>
  </si>
  <si>
    <t>HOJA TOTAL — Notas v6 (ABRIL 2026) — con ROI vs ROAS</t>
  </si>
  <si>
    <t>══════════════════════════════════════════════════════════════</t>
  </si>
  <si>
    <t xml:space="preserve">  ROI vs ROAS — Dos métricas distintas</t>
  </si>
  <si>
    <t>ROAS (Return on Ad Spend) = Venta total / Inversión</t>
  </si>
  <si>
    <t>• Mide ingresos brutos generados por cada sol invertido</t>
  </si>
  <si>
    <t>• ABRIL: S/ 132,824.76 / S/ 19,968.47 = 6.65x</t>
  </si>
  <si>
    <t>• Lectura: "Cada S/ 1 invertido GENERA S/ 6.65 en ingresos brutos"</t>
  </si>
  <si>
    <t>ROI (Return on Investment) = (Venta − Inversión) / Inversión</t>
  </si>
  <si>
    <t>• Mide ganancia neta sobre la inversión</t>
  </si>
  <si>
    <t>• ABRIL: (S/ 132,824.76 − S/ 19,968.47) / S/ 19,968.47 = 5.65 = +565%</t>
  </si>
  <si>
    <t>• Lectura: "Cada S/ 1 invertido DEVUELVE S/ 5.65 netos" (ganancia)</t>
  </si>
  <si>
    <t>Relación matemática:</t>
  </si>
  <si>
    <t xml:space="preserve">  ROAS = ROI + 1  →  5.65 + 1 = 6.65 ✓</t>
  </si>
  <si>
    <t>Desglose por cada S/ 1 invertido en ABRIL:</t>
  </si>
  <si>
    <t xml:space="preserve">  ┌────────────────────────────────────────────┐</t>
  </si>
  <si>
    <t xml:space="preserve">  │ S/ 1.00  ←  Inversión inicial (recuperada) │</t>
  </si>
  <si>
    <t xml:space="preserve">  │ + S/ 5.65 ←  Ganancia neta (ROI)           │</t>
  </si>
  <si>
    <t xml:space="preserve">  │ = S/ 6.65 ←  Ingreso total bruto (ROAS)    │</t>
  </si>
  <si>
    <t xml:space="preserve">  └────────────────────────────────────────────┘</t>
  </si>
  <si>
    <t>¿Cuándo usar cada uno?</t>
  </si>
  <si>
    <t>• ROAS — para comunicar performance de canales/campañas (común en MKT digital)</t>
  </si>
  <si>
    <t>• ROI — para análisis financiero, evaluar rentabilidad real</t>
  </si>
  <si>
    <t>• En reportes ejecutivos, mostrar AMBOS evita confusión</t>
  </si>
  <si>
    <t xml:space="preserve">  EMBUDO ABRIL 2026</t>
  </si>
  <si>
    <t xml:space="preserve">  LEADS GENERADOS              = 5,475</t>
  </si>
  <si>
    <t xml:space="preserve">  PROSPECTOS INGRESADOS        = 3,347   (61.1% de leads)</t>
  </si>
  <si>
    <t xml:space="preserve">  PROSPECTOS VÁLIDOS           = 1,417   (42.3% de ingresados)</t>
  </si>
  <si>
    <t xml:space="preserve">  SERVICIOS CERRADOS           = 49      (3.5% de válidos)</t>
  </si>
  <si>
    <t xml:space="preserve">  MONTO 26 ABRIL — S/ 19,968.47</t>
  </si>
  <si>
    <t>INCLUIDO:</t>
  </si>
  <si>
    <t xml:space="preserve">  Online (PPTO subtotal)             S/  9,624.25</t>
  </si>
  <si>
    <t xml:space="preserve">  Offline materiales (PPTO subtot)   S/  2,730.09</t>
  </si>
  <si>
    <t xml:space="preserve">  Campañas                            S/      0.00</t>
  </si>
  <si>
    <t xml:space="preserve">  + Expoferia Maternidad Lima         S/  2,929.53</t>
  </si>
  <si>
    <t xml:space="preserve">  + Catering Obstetras Criocord       S/  4,684.60</t>
  </si>
  <si>
    <t xml:space="preserve">  ──────────────────────────────────────────────</t>
  </si>
  <si>
    <t xml:space="preserve">  TOTAL                              S/ 19,968.47</t>
  </si>
  <si>
    <t>EXCLUIDO:</t>
  </si>
  <si>
    <t>• Viajes y provincias (Velia/Adler — Lima/Tacna/Cusco/Trujillo)</t>
  </si>
  <si>
    <t>• Caja Chica MKT, Bolsas/Kits, Entrenamiento Olga Soto</t>
  </si>
  <si>
    <t>• Wati COMERCIALES, Wati ANUAL Suscripción, Capcut, Calendly, N8n, Zapier</t>
  </si>
  <si>
    <t>• Sala Fairfield Apr, Inicio Ciclo Catering Apr (no pedidos explícitamente)</t>
  </si>
  <si>
    <t xml:space="preserve">  KPIs ABRIL FINALES</t>
  </si>
  <si>
    <t>• % vs LY        = 1,417 / 2,209 − 1 = −35.9%</t>
  </si>
  <si>
    <t>• % VALIDACIÓN   = 1,417 / 3,347 = 42.3%</t>
  </si>
  <si>
    <t>• % TC 26        = 49 / 1,417 = 3.5%</t>
  </si>
  <si>
    <t>• CAC            = S/ 19,968.47 / 1,417 = S/ 14.09</t>
  </si>
  <si>
    <t>• LEAD A PROSP   = 1,417 / 5,475 = 25.9%</t>
  </si>
  <si>
    <t>• S/ por Serv    = S/ 19,968.47 / 49 = S/ 407.52</t>
  </si>
  <si>
    <t>• ROAS           = S/ 132,824.76 / S/ 19,968.47 = 6.65x</t>
  </si>
  <si>
    <t>• ROI            = (S/132,824.76 − S/19,968.47) / S/19,968.47 = +565%</t>
  </si>
  <si>
    <t>UTILIDAD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</si>
</sst>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 &quot;#,##0.00"/>
    <numFmt numFmtId="165" formatCode="0.0%"/>
    <numFmt numFmtId="166" formatCode="0.00\x"/>
  </numFmts>
  <fonts count="10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0"/>
      <color rgb="FFFFFFFF"/>
      <name val="Arial"/>
      <charset val="1"/>
    </font>
    <font>
      <b/>
      <sz val="11"/>
      <color rgb="FF305496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808080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rgb="FFC00000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00000"/>
        <bgColor rgb="FF800000"/>
      </patternFill>
    </fill>
    <fill>
      <patternFill patternType="solid">
        <fgColor rgb="FFFFE699"/>
        <bgColor rgb="FFFFCC99"/>
      </patternFill>
    </fill>
    <fill>
      <patternFill patternType="solid">
        <fgColor rgb="FFC6E0B4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3" fontId="5" fillId="0" borderId="0" xfId="0" applyNumberFormat="1" applyFont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right"/>
    </xf>
    <xf numFmtId="165" fontId="5" fillId="0" borderId="0" xfId="0" applyNumberFormat="1" applyFont="1" applyAlignment="1">
      <alignment horizontal="right" vertical="center"/>
    </xf>
    <xf numFmtId="3" fontId="0" fillId="0" borderId="0" xfId="0" applyNumberFormat="1"/>
    <xf numFmtId="3" fontId="4" fillId="0" borderId="0" xfId="0" applyNumberFormat="1" applyFont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0" fontId="6" fillId="0" borderId="0" xfId="0" applyFont="1"/>
    <xf numFmtId="3" fontId="7" fillId="0" borderId="0" xfId="0" applyNumberFormat="1" applyFont="1"/>
    <xf numFmtId="10" fontId="0" fillId="0" borderId="0" xfId="0" applyNumberFormat="1"/>
    <xf numFmtId="164" fontId="0" fillId="0" borderId="0" xfId="0" applyNumberFormat="1"/>
    <xf numFmtId="166" fontId="5" fillId="0" borderId="0" xfId="0" applyNumberFormat="1" applyFont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0" fontId="8" fillId="0" borderId="0" xfId="0" applyFont="1"/>
    <xf numFmtId="3" fontId="5" fillId="5" borderId="0" xfId="0" applyNumberFormat="1" applyFont="1" applyFill="1" applyAlignment="1">
      <alignment horizontal="center" vertical="center"/>
    </xf>
    <xf numFmtId="2" fontId="0" fillId="0" borderId="0" xfId="0" applyNumberFormat="1"/>
    <xf numFmtId="0" fontId="9" fillId="0" borderId="0" xfId="0" applyFont="1"/>
    <xf numFmtId="0" fontId="5" fillId="0" borderId="0" xfId="0" applyFont="1"/>
    <xf numFmtId="2" fontId="5" fillId="0" borderId="0" xfId="0" applyNumberFormat="1" applyFont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A16" zoomScaleNormal="100" workbookViewId="0">
      <selection activeCell="H37" sqref="H37"/>
    </sheetView>
  </sheetViews>
  <sheetFormatPr baseColWidth="10" defaultColWidth="8.7109375" defaultRowHeight="15" x14ac:dyDescent="0.25"/>
  <cols>
    <col min="1" max="1" width="35" customWidth="1"/>
    <col min="2" max="14" width="13" customWidth="1"/>
  </cols>
  <sheetData>
    <row r="1" spans="1:14" ht="1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3" spans="1:14" ht="1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15" customHeight="1" x14ac:dyDescent="0.25">
      <c r="A4" s="3" t="s">
        <v>15</v>
      </c>
      <c r="N4" s="4"/>
    </row>
    <row r="5" spans="1:14" ht="15" customHeight="1" x14ac:dyDescent="0.25">
      <c r="A5" s="5" t="s">
        <v>16</v>
      </c>
      <c r="B5" s="6">
        <v>2333</v>
      </c>
      <c r="C5" s="6">
        <v>2343</v>
      </c>
      <c r="D5" s="6">
        <v>1876</v>
      </c>
      <c r="E5" s="7">
        <v>3347</v>
      </c>
      <c r="F5" s="8"/>
      <c r="G5" s="8"/>
      <c r="H5" s="8"/>
      <c r="I5" s="8"/>
      <c r="J5" s="8"/>
      <c r="K5" s="8"/>
      <c r="L5" s="8"/>
      <c r="M5" s="8"/>
      <c r="N5" s="9">
        <f>SUM(B5:M5)</f>
        <v>9899</v>
      </c>
    </row>
    <row r="6" spans="1:14" ht="15" customHeight="1" x14ac:dyDescent="0.25">
      <c r="A6" s="5" t="s">
        <v>17</v>
      </c>
      <c r="B6" s="10">
        <v>12000</v>
      </c>
      <c r="C6" s="10">
        <v>12423</v>
      </c>
      <c r="D6" s="10">
        <v>18217</v>
      </c>
      <c r="E6" s="11">
        <v>19968.47</v>
      </c>
      <c r="F6" s="8"/>
      <c r="G6" s="8"/>
      <c r="H6" s="8"/>
      <c r="I6" s="8"/>
      <c r="J6" s="8"/>
      <c r="K6" s="8"/>
      <c r="L6" s="8"/>
      <c r="M6" s="8"/>
      <c r="N6" s="12">
        <f>SUM(B6:M6)</f>
        <v>62608.47</v>
      </c>
    </row>
    <row r="7" spans="1:14" ht="15" customHeight="1" x14ac:dyDescent="0.25">
      <c r="A7" s="5" t="s">
        <v>18</v>
      </c>
      <c r="B7" s="6">
        <v>1981</v>
      </c>
      <c r="C7" s="6">
        <v>2322</v>
      </c>
      <c r="D7" s="6">
        <v>2823</v>
      </c>
      <c r="E7" s="7">
        <v>2209</v>
      </c>
      <c r="F7" s="6">
        <v>2300</v>
      </c>
      <c r="G7" s="6">
        <v>2700</v>
      </c>
      <c r="H7" s="6">
        <v>2217</v>
      </c>
      <c r="I7" s="6">
        <v>2890</v>
      </c>
      <c r="J7" s="6">
        <v>1755</v>
      </c>
      <c r="K7" s="6">
        <v>920</v>
      </c>
      <c r="L7" s="6">
        <v>978</v>
      </c>
      <c r="M7" s="6">
        <v>1246</v>
      </c>
      <c r="N7" s="13">
        <f>SUM(B7:M7)</f>
        <v>24341</v>
      </c>
    </row>
    <row r="8" spans="1:14" ht="15" customHeight="1" x14ac:dyDescent="0.25">
      <c r="A8" s="5" t="s">
        <v>19</v>
      </c>
      <c r="B8" s="10">
        <v>20020.400000000001</v>
      </c>
      <c r="C8" s="10">
        <v>22811.4</v>
      </c>
      <c r="D8" s="10">
        <v>12542</v>
      </c>
      <c r="E8" s="11">
        <v>11989</v>
      </c>
      <c r="F8" s="8"/>
      <c r="G8" s="8"/>
      <c r="H8" s="8"/>
      <c r="I8" s="8"/>
      <c r="J8" s="8"/>
      <c r="K8" s="8"/>
      <c r="L8" s="8"/>
      <c r="M8" s="8"/>
      <c r="N8" s="12">
        <f>SUM(B8:M8)</f>
        <v>67362.8</v>
      </c>
    </row>
    <row r="9" spans="1:14" ht="15" customHeight="1" x14ac:dyDescent="0.25">
      <c r="A9" s="5" t="s">
        <v>20</v>
      </c>
      <c r="B9" s="6">
        <v>1765</v>
      </c>
      <c r="C9" s="6">
        <v>1696</v>
      </c>
      <c r="D9" s="6">
        <v>1443</v>
      </c>
      <c r="E9" s="7">
        <v>1417</v>
      </c>
      <c r="F9" s="8"/>
      <c r="G9" s="8"/>
      <c r="H9" s="8"/>
      <c r="I9" s="8"/>
      <c r="J9" s="8"/>
      <c r="K9" s="8"/>
      <c r="L9" s="8"/>
      <c r="M9" s="8"/>
      <c r="N9" s="9">
        <f>SUM(B9:M9)</f>
        <v>6321</v>
      </c>
    </row>
    <row r="10" spans="1:14" ht="15" customHeight="1" x14ac:dyDescent="0.25">
      <c r="A10" s="5" t="s">
        <v>21</v>
      </c>
      <c r="B10" s="14">
        <f t="shared" ref="B10:M10" si="0">IFERROR(B9/B5,"")</f>
        <v>0.7565366480925847</v>
      </c>
      <c r="C10" s="14">
        <f t="shared" si="0"/>
        <v>0.72385830132309004</v>
      </c>
      <c r="D10" s="14">
        <f t="shared" si="0"/>
        <v>0.76918976545842221</v>
      </c>
      <c r="E10" s="15">
        <f t="shared" si="0"/>
        <v>0.42336420675231551</v>
      </c>
      <c r="F10" s="14" t="str">
        <f t="shared" si="0"/>
        <v/>
      </c>
      <c r="G10" s="14" t="str">
        <f t="shared" si="0"/>
        <v/>
      </c>
      <c r="H10" s="14" t="str">
        <f t="shared" si="0"/>
        <v/>
      </c>
      <c r="I10" s="14" t="str">
        <f t="shared" si="0"/>
        <v/>
      </c>
      <c r="J10" s="14" t="str">
        <f t="shared" si="0"/>
        <v/>
      </c>
      <c r="K10" s="14" t="str">
        <f t="shared" si="0"/>
        <v/>
      </c>
      <c r="L10" s="14" t="str">
        <f t="shared" si="0"/>
        <v/>
      </c>
      <c r="M10" s="14" t="str">
        <f t="shared" si="0"/>
        <v/>
      </c>
      <c r="N10" s="16">
        <f>IFERROR(AVERAGE(B10:M10),"")</f>
        <v>0.6682372304066031</v>
      </c>
    </row>
    <row r="11" spans="1:14" ht="15" customHeight="1" x14ac:dyDescent="0.25">
      <c r="A11" s="5" t="s">
        <v>22</v>
      </c>
      <c r="B11" s="6">
        <v>896</v>
      </c>
      <c r="C11" s="6">
        <v>1338</v>
      </c>
      <c r="D11" s="6">
        <v>2070</v>
      </c>
      <c r="E11" s="7">
        <v>2209</v>
      </c>
      <c r="F11" s="8"/>
      <c r="G11" s="8"/>
      <c r="H11" s="8"/>
      <c r="I11" s="8"/>
      <c r="J11" s="8"/>
      <c r="K11" s="8"/>
      <c r="L11" s="8"/>
      <c r="M11" s="8"/>
      <c r="N11" s="9">
        <f>SUM(B11:M11)</f>
        <v>6513</v>
      </c>
    </row>
    <row r="12" spans="1:14" ht="15" customHeight="1" x14ac:dyDescent="0.25">
      <c r="A12" s="5" t="s">
        <v>23</v>
      </c>
      <c r="B12" s="14">
        <f t="shared" ref="B12:N12" si="1">IFERROR(B9/B11-1,"")</f>
        <v>0.9698660714285714</v>
      </c>
      <c r="C12" s="14">
        <f t="shared" si="1"/>
        <v>0.26756352765321378</v>
      </c>
      <c r="D12" s="14">
        <f t="shared" si="1"/>
        <v>-0.30289855072463767</v>
      </c>
      <c r="E12" s="15">
        <f t="shared" si="1"/>
        <v>-0.35853327297419646</v>
      </c>
      <c r="F12" s="14" t="str">
        <f t="shared" si="1"/>
        <v/>
      </c>
      <c r="G12" s="14" t="str">
        <f t="shared" si="1"/>
        <v/>
      </c>
      <c r="H12" s="14" t="str">
        <f t="shared" si="1"/>
        <v/>
      </c>
      <c r="I12" s="14" t="str">
        <f t="shared" si="1"/>
        <v/>
      </c>
      <c r="J12" s="14" t="str">
        <f t="shared" si="1"/>
        <v/>
      </c>
      <c r="K12" s="14" t="str">
        <f t="shared" si="1"/>
        <v/>
      </c>
      <c r="L12" s="14" t="str">
        <f t="shared" si="1"/>
        <v/>
      </c>
      <c r="M12" s="14" t="str">
        <f t="shared" si="1"/>
        <v/>
      </c>
      <c r="N12" s="17">
        <f t="shared" si="1"/>
        <v>-2.9479502533394708E-2</v>
      </c>
    </row>
    <row r="14" spans="1:14" ht="15" customHeight="1" x14ac:dyDescent="0.25">
      <c r="A14" s="3" t="s">
        <v>24</v>
      </c>
    </row>
    <row r="15" spans="1:14" ht="15" customHeight="1" x14ac:dyDescent="0.25">
      <c r="A15" s="5" t="s">
        <v>25</v>
      </c>
      <c r="B15" s="6">
        <v>80</v>
      </c>
      <c r="C15" s="6">
        <v>51</v>
      </c>
      <c r="D15" s="6">
        <v>57</v>
      </c>
      <c r="E15" s="7">
        <v>34</v>
      </c>
      <c r="F15" s="8"/>
      <c r="G15" s="8"/>
      <c r="H15" s="8"/>
      <c r="I15" s="8"/>
      <c r="J15" s="8"/>
      <c r="K15" s="8"/>
      <c r="L15" s="8"/>
      <c r="M15" s="8"/>
      <c r="N15" s="18">
        <f>SUM(B15:M15)</f>
        <v>222</v>
      </c>
    </row>
    <row r="16" spans="1:14" ht="15" customHeight="1" x14ac:dyDescent="0.25">
      <c r="A16" s="5" t="s">
        <v>26</v>
      </c>
      <c r="B16" s="6">
        <v>27</v>
      </c>
      <c r="C16" s="6">
        <v>9</v>
      </c>
      <c r="D16" s="6">
        <v>20</v>
      </c>
      <c r="E16" s="7">
        <v>5</v>
      </c>
      <c r="F16" s="8"/>
      <c r="G16" s="8"/>
      <c r="H16" s="8"/>
      <c r="I16" s="8"/>
      <c r="J16" s="8"/>
      <c r="K16" s="8"/>
      <c r="L16" s="8"/>
      <c r="M16" s="8"/>
      <c r="N16" s="18">
        <f>SUM(B16:M16)</f>
        <v>61</v>
      </c>
    </row>
    <row r="17" spans="1:14" ht="15" customHeight="1" x14ac:dyDescent="0.25">
      <c r="A17" s="5" t="s">
        <v>27</v>
      </c>
      <c r="B17" s="6">
        <v>30</v>
      </c>
      <c r="C17" s="6">
        <v>18</v>
      </c>
      <c r="D17" s="6">
        <v>18</v>
      </c>
      <c r="E17" s="7">
        <v>6</v>
      </c>
      <c r="F17" s="8"/>
      <c r="G17" s="8"/>
      <c r="H17" s="8"/>
      <c r="I17" s="8"/>
      <c r="J17" s="8"/>
      <c r="K17" s="8"/>
      <c r="L17" s="8"/>
      <c r="M17" s="8"/>
      <c r="N17" s="18">
        <f>SUM(B17:M17)</f>
        <v>72</v>
      </c>
    </row>
    <row r="18" spans="1:14" ht="15" customHeight="1" x14ac:dyDescent="0.25">
      <c r="A18" s="5" t="s">
        <v>28</v>
      </c>
      <c r="B18" s="6">
        <v>2</v>
      </c>
      <c r="C18" s="6">
        <v>3</v>
      </c>
      <c r="D18" s="6">
        <v>5</v>
      </c>
      <c r="E18" s="7">
        <v>4</v>
      </c>
      <c r="F18" s="8"/>
      <c r="G18" s="8"/>
      <c r="H18" s="8"/>
      <c r="I18" s="8"/>
      <c r="J18" s="8"/>
      <c r="K18" s="8"/>
      <c r="L18" s="8"/>
      <c r="M18" s="8"/>
      <c r="N18" s="18">
        <f>SUM(B18:M18)</f>
        <v>14</v>
      </c>
    </row>
    <row r="19" spans="1:14" ht="15" customHeight="1" x14ac:dyDescent="0.25">
      <c r="A19" s="5" t="s">
        <v>29</v>
      </c>
      <c r="B19" s="19">
        <f t="shared" ref="B19:M19" si="2">B15+B16+B17+B18</f>
        <v>139</v>
      </c>
      <c r="C19" s="19">
        <f t="shared" si="2"/>
        <v>81</v>
      </c>
      <c r="D19" s="19">
        <f t="shared" si="2"/>
        <v>100</v>
      </c>
      <c r="E19" s="20">
        <f t="shared" si="2"/>
        <v>49</v>
      </c>
      <c r="F19" s="19">
        <f t="shared" si="2"/>
        <v>0</v>
      </c>
      <c r="G19" s="19">
        <f t="shared" si="2"/>
        <v>0</v>
      </c>
      <c r="H19" s="19">
        <f t="shared" si="2"/>
        <v>0</v>
      </c>
      <c r="I19" s="19">
        <f t="shared" si="2"/>
        <v>0</v>
      </c>
      <c r="J19" s="19">
        <f t="shared" si="2"/>
        <v>0</v>
      </c>
      <c r="K19" s="19">
        <f t="shared" si="2"/>
        <v>0</v>
      </c>
      <c r="L19" s="19">
        <f t="shared" si="2"/>
        <v>0</v>
      </c>
      <c r="M19" s="19">
        <f t="shared" si="2"/>
        <v>0</v>
      </c>
      <c r="N19" s="21">
        <f>SUM(B19:M19)</f>
        <v>369</v>
      </c>
    </row>
    <row r="21" spans="1:14" ht="15" customHeight="1" x14ac:dyDescent="0.25">
      <c r="A21" s="22" t="s">
        <v>30</v>
      </c>
    </row>
    <row r="22" spans="1:14" ht="15" customHeight="1" x14ac:dyDescent="0.25">
      <c r="A22" s="5" t="s">
        <v>31</v>
      </c>
      <c r="B22" s="6">
        <v>54</v>
      </c>
      <c r="C22" s="6">
        <v>30</v>
      </c>
      <c r="D22" s="6">
        <v>55</v>
      </c>
      <c r="E22" s="7">
        <v>68</v>
      </c>
      <c r="F22" s="8"/>
      <c r="G22" s="8"/>
      <c r="H22" s="8"/>
      <c r="I22" s="8"/>
      <c r="J22" s="8"/>
      <c r="K22" s="8"/>
      <c r="L22" s="8"/>
      <c r="M22" s="8"/>
      <c r="N22" s="18">
        <f>SUM(B22:M22)</f>
        <v>207</v>
      </c>
    </row>
    <row r="23" spans="1:14" ht="15" customHeight="1" x14ac:dyDescent="0.25">
      <c r="A23" s="5" t="s">
        <v>32</v>
      </c>
      <c r="B23" s="6">
        <v>37</v>
      </c>
      <c r="C23" s="6">
        <v>34</v>
      </c>
      <c r="D23" s="6">
        <v>12</v>
      </c>
      <c r="E23" s="7">
        <v>8</v>
      </c>
      <c r="F23" s="8"/>
      <c r="G23" s="8"/>
      <c r="H23" s="8"/>
      <c r="I23" s="8"/>
      <c r="J23" s="8"/>
      <c r="K23" s="8"/>
      <c r="L23" s="8"/>
      <c r="M23" s="8"/>
      <c r="N23" s="18">
        <f>SUM(B23:M23)</f>
        <v>91</v>
      </c>
    </row>
    <row r="24" spans="1:14" ht="15" customHeight="1" x14ac:dyDescent="0.25">
      <c r="A24" s="5" t="s">
        <v>33</v>
      </c>
      <c r="B24" s="6">
        <v>23</v>
      </c>
      <c r="C24" s="6">
        <v>10</v>
      </c>
      <c r="D24" s="6">
        <v>12</v>
      </c>
      <c r="E24" s="7">
        <v>20</v>
      </c>
      <c r="F24" s="8"/>
      <c r="G24" s="8"/>
      <c r="H24" s="8"/>
      <c r="I24" s="8"/>
      <c r="J24" s="8"/>
      <c r="K24" s="8"/>
      <c r="L24" s="8"/>
      <c r="M24" s="8"/>
      <c r="N24" s="18">
        <f>SUM(B24:M24)</f>
        <v>65</v>
      </c>
    </row>
    <row r="25" spans="1:14" ht="15" customHeight="1" x14ac:dyDescent="0.25">
      <c r="A25" s="5" t="s">
        <v>34</v>
      </c>
      <c r="B25" s="6">
        <v>0</v>
      </c>
      <c r="C25" s="6">
        <v>0</v>
      </c>
      <c r="D25" s="6">
        <v>0</v>
      </c>
      <c r="E25" s="7">
        <v>0</v>
      </c>
      <c r="F25" s="8"/>
      <c r="G25" s="8"/>
      <c r="H25" s="8"/>
      <c r="I25" s="8"/>
      <c r="J25" s="8"/>
      <c r="K25" s="8"/>
      <c r="L25" s="8"/>
      <c r="M25" s="8"/>
      <c r="N25" s="18">
        <f>SUM(B25:M25)</f>
        <v>0</v>
      </c>
    </row>
    <row r="26" spans="1:14" ht="15" customHeight="1" x14ac:dyDescent="0.25">
      <c r="A26" s="5" t="s">
        <v>35</v>
      </c>
      <c r="B26" s="19">
        <f t="shared" ref="B26:M26" si="3">B22+B23+B24+B25</f>
        <v>114</v>
      </c>
      <c r="C26" s="19">
        <f t="shared" si="3"/>
        <v>74</v>
      </c>
      <c r="D26" s="19">
        <f t="shared" si="3"/>
        <v>79</v>
      </c>
      <c r="E26" s="19">
        <f t="shared" si="3"/>
        <v>96</v>
      </c>
      <c r="F26" s="19">
        <f t="shared" si="3"/>
        <v>0</v>
      </c>
      <c r="G26" s="19">
        <f t="shared" si="3"/>
        <v>0</v>
      </c>
      <c r="H26" s="19">
        <f t="shared" si="3"/>
        <v>0</v>
      </c>
      <c r="I26" s="19">
        <f t="shared" si="3"/>
        <v>0</v>
      </c>
      <c r="J26" s="19">
        <f t="shared" si="3"/>
        <v>0</v>
      </c>
      <c r="K26" s="19">
        <f t="shared" si="3"/>
        <v>0</v>
      </c>
      <c r="L26" s="19">
        <f t="shared" si="3"/>
        <v>0</v>
      </c>
      <c r="M26" s="19">
        <f t="shared" si="3"/>
        <v>0</v>
      </c>
      <c r="N26" s="23">
        <f>SUM(B26:M26)</f>
        <v>363</v>
      </c>
    </row>
    <row r="28" spans="1:14" ht="15" customHeight="1" x14ac:dyDescent="0.25">
      <c r="A28" s="3" t="s">
        <v>36</v>
      </c>
    </row>
    <row r="29" spans="1:14" ht="15" customHeight="1" x14ac:dyDescent="0.25">
      <c r="A29" s="5" t="s">
        <v>37</v>
      </c>
      <c r="B29" s="14">
        <f t="shared" ref="B29:M29" si="4">IFERROR(B19/B9,"")</f>
        <v>7.8753541076487257E-2</v>
      </c>
      <c r="C29" s="14">
        <f t="shared" si="4"/>
        <v>4.7759433962264154E-2</v>
      </c>
      <c r="D29" s="14">
        <f t="shared" si="4"/>
        <v>6.9300069300069295E-2</v>
      </c>
      <c r="E29" s="15">
        <f t="shared" si="4"/>
        <v>3.4580098800282288E-2</v>
      </c>
      <c r="F29" s="14" t="str">
        <f t="shared" si="4"/>
        <v/>
      </c>
      <c r="G29" s="14" t="str">
        <f t="shared" si="4"/>
        <v/>
      </c>
      <c r="H29" s="14" t="str">
        <f t="shared" si="4"/>
        <v/>
      </c>
      <c r="I29" s="14" t="str">
        <f t="shared" si="4"/>
        <v/>
      </c>
      <c r="J29" s="14" t="str">
        <f t="shared" si="4"/>
        <v/>
      </c>
      <c r="K29" s="14" t="str">
        <f t="shared" si="4"/>
        <v/>
      </c>
      <c r="L29" s="14" t="str">
        <f t="shared" si="4"/>
        <v/>
      </c>
      <c r="M29" s="14" t="str">
        <f t="shared" si="4"/>
        <v/>
      </c>
      <c r="N29" s="24">
        <f>IFERROR(AVERAGE(B29:M29),"")</f>
        <v>5.759828578477575E-2</v>
      </c>
    </row>
    <row r="30" spans="1:14" ht="15" customHeight="1" x14ac:dyDescent="0.25">
      <c r="A30" s="5" t="s">
        <v>38</v>
      </c>
      <c r="B30" s="10">
        <f t="shared" ref="B30:M30" si="5">IFERROR(B6/B9,"")</f>
        <v>6.7988668555240794</v>
      </c>
      <c r="C30" s="10">
        <f>IFERROR(C6/C9,"")</f>
        <v>7.3248820754716979</v>
      </c>
      <c r="D30" s="10">
        <f t="shared" si="5"/>
        <v>12.624393624393624</v>
      </c>
      <c r="E30" s="11">
        <f>IFERROR(E6/E9,"")</f>
        <v>14.092074805928018</v>
      </c>
      <c r="F30" s="10" t="str">
        <f t="shared" si="5"/>
        <v/>
      </c>
      <c r="G30" s="10" t="str">
        <f t="shared" si="5"/>
        <v/>
      </c>
      <c r="H30" s="10" t="str">
        <f t="shared" si="5"/>
        <v/>
      </c>
      <c r="I30" s="10" t="str">
        <f t="shared" si="5"/>
        <v/>
      </c>
      <c r="J30" s="10" t="str">
        <f t="shared" si="5"/>
        <v/>
      </c>
      <c r="K30" s="10" t="str">
        <f t="shared" si="5"/>
        <v/>
      </c>
      <c r="L30" s="10" t="str">
        <f t="shared" si="5"/>
        <v/>
      </c>
      <c r="M30" s="10" t="str">
        <f t="shared" si="5"/>
        <v/>
      </c>
      <c r="N30" s="25">
        <f>IFERROR(AVERAGE(B30:M30),"")</f>
        <v>10.210054340329354</v>
      </c>
    </row>
    <row r="31" spans="1:14" ht="15" customHeight="1" x14ac:dyDescent="0.25">
      <c r="A31" s="5" t="s">
        <v>39</v>
      </c>
      <c r="B31" s="10">
        <f t="shared" ref="B31:M31" si="6">IFERROR(B6/B19,"")</f>
        <v>86.330935251798564</v>
      </c>
      <c r="C31" s="10">
        <f t="shared" si="6"/>
        <v>153.37037037037038</v>
      </c>
      <c r="D31" s="10">
        <f t="shared" si="6"/>
        <v>182.17</v>
      </c>
      <c r="E31" s="11">
        <f t="shared" si="6"/>
        <v>407.51979591836738</v>
      </c>
      <c r="F31" s="10" t="str">
        <f t="shared" si="6"/>
        <v/>
      </c>
      <c r="G31" s="10" t="str">
        <f t="shared" si="6"/>
        <v/>
      </c>
      <c r="H31" s="10" t="str">
        <f t="shared" si="6"/>
        <v/>
      </c>
      <c r="I31" s="10" t="str">
        <f t="shared" si="6"/>
        <v/>
      </c>
      <c r="J31" s="10" t="str">
        <f t="shared" si="6"/>
        <v/>
      </c>
      <c r="K31" s="10" t="str">
        <f t="shared" si="6"/>
        <v/>
      </c>
      <c r="L31" s="10" t="str">
        <f t="shared" si="6"/>
        <v/>
      </c>
      <c r="M31" s="10" t="str">
        <f t="shared" si="6"/>
        <v/>
      </c>
      <c r="N31" s="25">
        <f>IFERROR(AVERAGE(B31:M31),"")</f>
        <v>207.34777538513407</v>
      </c>
    </row>
    <row r="32" spans="1:14" ht="15" customHeight="1" x14ac:dyDescent="0.25">
      <c r="A32" s="5" t="s">
        <v>40</v>
      </c>
      <c r="B32" s="10">
        <v>428733.80139999994</v>
      </c>
      <c r="C32" s="10">
        <v>227405.09239999999</v>
      </c>
      <c r="D32" s="10">
        <v>256292.9792</v>
      </c>
      <c r="E32" s="11">
        <v>132824.76</v>
      </c>
      <c r="F32" s="8"/>
      <c r="G32" s="8"/>
      <c r="H32" s="8"/>
      <c r="I32" s="8"/>
      <c r="J32" s="8"/>
      <c r="K32" s="8"/>
      <c r="L32" s="8"/>
      <c r="M32" s="8"/>
      <c r="N32" s="10">
        <f>IFERROR(AVERAGE(B32:M32),"")</f>
        <v>261314.15824999998</v>
      </c>
    </row>
    <row r="33" spans="1:14" ht="15" customHeight="1" x14ac:dyDescent="0.25">
      <c r="A33" s="5" t="s">
        <v>98</v>
      </c>
      <c r="B33" s="10"/>
      <c r="C33" s="10"/>
      <c r="D33" s="10"/>
      <c r="E33" s="11"/>
      <c r="F33" s="8"/>
      <c r="G33" s="8"/>
      <c r="H33" s="8"/>
      <c r="I33" s="8"/>
      <c r="J33" s="8"/>
      <c r="K33" s="8"/>
      <c r="L33" s="8"/>
      <c r="M33" s="8"/>
      <c r="N33" s="10"/>
    </row>
    <row r="34" spans="1:14" ht="15" customHeight="1" x14ac:dyDescent="0.25">
      <c r="A34" s="5" t="s">
        <v>41</v>
      </c>
      <c r="B34" s="33">
        <f t="shared" ref="B34:M34" si="7">IFERROR((B32-B6)/B6,"")</f>
        <v>34.727816783333331</v>
      </c>
      <c r="C34" s="33">
        <f t="shared" si="7"/>
        <v>17.305167222088063</v>
      </c>
      <c r="D34" s="33">
        <f t="shared" si="7"/>
        <v>13.06889055278037</v>
      </c>
      <c r="E34" s="34">
        <f>IFERROR((E32-E6)/E6,"")</f>
        <v>5.6517244435853122</v>
      </c>
      <c r="F34" s="14" t="str">
        <f t="shared" si="7"/>
        <v/>
      </c>
      <c r="G34" s="14" t="str">
        <f t="shared" si="7"/>
        <v/>
      </c>
      <c r="H34" s="14" t="str">
        <f t="shared" si="7"/>
        <v/>
      </c>
      <c r="I34" s="14" t="str">
        <f t="shared" si="7"/>
        <v/>
      </c>
      <c r="J34" s="14" t="str">
        <f t="shared" si="7"/>
        <v/>
      </c>
      <c r="K34" s="14" t="str">
        <f t="shared" si="7"/>
        <v/>
      </c>
      <c r="L34" s="14" t="str">
        <f t="shared" si="7"/>
        <v/>
      </c>
      <c r="M34" s="14" t="str">
        <f t="shared" si="7"/>
        <v/>
      </c>
      <c r="N34" s="24">
        <f>IFERROR(AVERAGE(B34:M34),"")</f>
        <v>17.68839975044677</v>
      </c>
    </row>
    <row r="35" spans="1:14" ht="15" customHeight="1" x14ac:dyDescent="0.25">
      <c r="A35" s="5" t="s">
        <v>42</v>
      </c>
      <c r="B35" s="26">
        <f>IFERROR(B32/B6,"")</f>
        <v>35.727816783333331</v>
      </c>
      <c r="C35" s="26">
        <f t="shared" ref="C35:M35" si="8">IFERROR(C32/C6,"")</f>
        <v>18.305167222088063</v>
      </c>
      <c r="D35" s="26">
        <f t="shared" si="8"/>
        <v>14.06889055278037</v>
      </c>
      <c r="E35" s="27">
        <f t="shared" si="8"/>
        <v>6.6517244435853122</v>
      </c>
      <c r="F35" s="26" t="str">
        <f t="shared" si="8"/>
        <v/>
      </c>
      <c r="G35" s="26" t="str">
        <f t="shared" si="8"/>
        <v/>
      </c>
      <c r="H35" s="26" t="str">
        <f t="shared" si="8"/>
        <v/>
      </c>
      <c r="I35" s="26" t="str">
        <f t="shared" si="8"/>
        <v/>
      </c>
      <c r="J35" s="26" t="str">
        <f t="shared" si="8"/>
        <v/>
      </c>
      <c r="K35" s="26" t="str">
        <f t="shared" si="8"/>
        <v/>
      </c>
      <c r="L35" s="26" t="str">
        <f t="shared" si="8"/>
        <v/>
      </c>
      <c r="M35" s="26" t="str">
        <f t="shared" si="8"/>
        <v/>
      </c>
    </row>
    <row r="36" spans="1:14" ht="15" customHeight="1" x14ac:dyDescent="0.25">
      <c r="N36" s="24"/>
    </row>
    <row r="37" spans="1:14" ht="15" customHeight="1" x14ac:dyDescent="0.25">
      <c r="A37" s="28" t="s">
        <v>43</v>
      </c>
      <c r="N37" s="24"/>
    </row>
    <row r="38" spans="1:14" ht="15" customHeight="1" x14ac:dyDescent="0.25">
      <c r="A38" s="5" t="s">
        <v>44</v>
      </c>
      <c r="B38" s="8"/>
      <c r="C38" s="8"/>
      <c r="D38" s="8"/>
      <c r="E38" s="29">
        <v>5475</v>
      </c>
      <c r="F38" s="8"/>
      <c r="G38" s="8"/>
      <c r="H38" s="8"/>
      <c r="I38" s="8"/>
      <c r="J38" s="8"/>
      <c r="K38" s="8"/>
      <c r="L38" s="8"/>
      <c r="M38" s="8"/>
      <c r="N38" s="30" t="str">
        <f>IFERROR(AVERAGE(B37:M37),"")</f>
        <v/>
      </c>
    </row>
    <row r="39" spans="1:14" ht="15" customHeight="1" x14ac:dyDescent="0.25">
      <c r="A39" s="5" t="s">
        <v>45</v>
      </c>
      <c r="B39" s="14" t="str">
        <f t="shared" ref="B39:M39" si="9">IFERROR(B9/B37,"")</f>
        <v/>
      </c>
      <c r="C39" s="14" t="str">
        <f t="shared" si="9"/>
        <v/>
      </c>
      <c r="D39" s="14" t="str">
        <f t="shared" si="9"/>
        <v/>
      </c>
      <c r="E39" s="15" t="str">
        <f t="shared" si="9"/>
        <v/>
      </c>
      <c r="F39" s="14" t="str">
        <f t="shared" si="9"/>
        <v/>
      </c>
      <c r="G39" s="14" t="str">
        <f t="shared" si="9"/>
        <v/>
      </c>
      <c r="H39" s="14" t="str">
        <f t="shared" si="9"/>
        <v/>
      </c>
      <c r="I39" s="14" t="str">
        <f t="shared" si="9"/>
        <v/>
      </c>
      <c r="J39" s="14" t="str">
        <f t="shared" si="9"/>
        <v/>
      </c>
      <c r="K39" s="14" t="str">
        <f t="shared" si="9"/>
        <v/>
      </c>
      <c r="L39" s="14" t="str">
        <f t="shared" si="9"/>
        <v/>
      </c>
      <c r="M39" s="14" t="str">
        <f t="shared" si="9"/>
        <v/>
      </c>
      <c r="N39" s="24">
        <f>IFERROR(AVERAGE(B38:M38),"")</f>
        <v>5475</v>
      </c>
    </row>
    <row r="40" spans="1:14" ht="15" customHeight="1" x14ac:dyDescent="0.25">
      <c r="A40" s="5" t="s">
        <v>46</v>
      </c>
      <c r="B40" s="14">
        <f t="shared" ref="B40:M40" si="10">IFERROR(B19/B9,"")</f>
        <v>7.8753541076487257E-2</v>
      </c>
      <c r="C40" s="14">
        <f t="shared" si="10"/>
        <v>4.7759433962264154E-2</v>
      </c>
      <c r="D40" s="14">
        <f t="shared" si="10"/>
        <v>6.9300069300069295E-2</v>
      </c>
      <c r="E40" s="15">
        <f t="shared" si="10"/>
        <v>3.4580098800282288E-2</v>
      </c>
      <c r="F40" s="14" t="str">
        <f t="shared" si="10"/>
        <v/>
      </c>
      <c r="G40" s="14" t="str">
        <f t="shared" si="10"/>
        <v/>
      </c>
      <c r="H40" s="14" t="str">
        <f t="shared" si="10"/>
        <v/>
      </c>
      <c r="I40" s="14" t="str">
        <f t="shared" si="10"/>
        <v/>
      </c>
      <c r="J40" s="14" t="str">
        <f t="shared" si="10"/>
        <v/>
      </c>
      <c r="K40" s="14" t="str">
        <f t="shared" si="10"/>
        <v/>
      </c>
      <c r="L40" s="14" t="str">
        <f t="shared" si="10"/>
        <v/>
      </c>
      <c r="M40" s="14" t="str">
        <f t="shared" si="10"/>
        <v/>
      </c>
      <c r="N40" s="24" t="str">
        <f>IFERROR(AVERAGE(B39:M39),"")</f>
        <v/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8"/>
  <sheetViews>
    <sheetView zoomScaleNormal="100" workbookViewId="0"/>
  </sheetViews>
  <sheetFormatPr baseColWidth="10" defaultColWidth="8.7109375" defaultRowHeight="15" x14ac:dyDescent="0.25"/>
  <cols>
    <col min="1" max="1" width="105" customWidth="1"/>
  </cols>
  <sheetData>
    <row r="1" spans="1:1" ht="15" customHeight="1" x14ac:dyDescent="0.25">
      <c r="A1" s="31" t="s">
        <v>47</v>
      </c>
    </row>
    <row r="2" spans="1:1" ht="15" customHeight="1" x14ac:dyDescent="0.25">
      <c r="A2" s="32"/>
    </row>
    <row r="3" spans="1:1" ht="15" customHeight="1" x14ac:dyDescent="0.25">
      <c r="A3" s="32" t="s">
        <v>48</v>
      </c>
    </row>
    <row r="4" spans="1:1" ht="15" customHeight="1" x14ac:dyDescent="0.25">
      <c r="A4" s="31" t="s">
        <v>49</v>
      </c>
    </row>
    <row r="5" spans="1:1" ht="15" customHeight="1" x14ac:dyDescent="0.25">
      <c r="A5" s="32" t="s">
        <v>48</v>
      </c>
    </row>
    <row r="6" spans="1:1" ht="15" customHeight="1" x14ac:dyDescent="0.25">
      <c r="A6" s="32"/>
    </row>
    <row r="7" spans="1:1" ht="15" customHeight="1" x14ac:dyDescent="0.25">
      <c r="A7" s="31" t="s">
        <v>50</v>
      </c>
    </row>
    <row r="8" spans="1:1" ht="15" customHeight="1" x14ac:dyDescent="0.25">
      <c r="A8" s="32" t="s">
        <v>51</v>
      </c>
    </row>
    <row r="9" spans="1:1" ht="15" customHeight="1" x14ac:dyDescent="0.25">
      <c r="A9" s="32" t="s">
        <v>52</v>
      </c>
    </row>
    <row r="10" spans="1:1" ht="15" customHeight="1" x14ac:dyDescent="0.25">
      <c r="A10" s="32" t="s">
        <v>53</v>
      </c>
    </row>
    <row r="11" spans="1:1" ht="15" customHeight="1" x14ac:dyDescent="0.25">
      <c r="A11" s="32"/>
    </row>
    <row r="12" spans="1:1" ht="15" customHeight="1" x14ac:dyDescent="0.25">
      <c r="A12" s="31" t="s">
        <v>54</v>
      </c>
    </row>
    <row r="13" spans="1:1" ht="15" customHeight="1" x14ac:dyDescent="0.25">
      <c r="A13" s="32" t="s">
        <v>55</v>
      </c>
    </row>
    <row r="14" spans="1:1" ht="15" customHeight="1" x14ac:dyDescent="0.25">
      <c r="A14" s="32" t="s">
        <v>56</v>
      </c>
    </row>
    <row r="15" spans="1:1" ht="15" customHeight="1" x14ac:dyDescent="0.25">
      <c r="A15" s="32" t="s">
        <v>57</v>
      </c>
    </row>
    <row r="16" spans="1:1" ht="15" customHeight="1" x14ac:dyDescent="0.25">
      <c r="A16" s="32"/>
    </row>
    <row r="17" spans="1:1" ht="15" customHeight="1" x14ac:dyDescent="0.25">
      <c r="A17" s="31" t="s">
        <v>58</v>
      </c>
    </row>
    <row r="18" spans="1:1" ht="15" customHeight="1" x14ac:dyDescent="0.25">
      <c r="A18" s="32" t="s">
        <v>59</v>
      </c>
    </row>
    <row r="19" spans="1:1" ht="15" customHeight="1" x14ac:dyDescent="0.25">
      <c r="A19" s="32"/>
    </row>
    <row r="20" spans="1:1" ht="15" customHeight="1" x14ac:dyDescent="0.25">
      <c r="A20" s="31" t="s">
        <v>60</v>
      </c>
    </row>
    <row r="21" spans="1:1" ht="15" customHeight="1" x14ac:dyDescent="0.25">
      <c r="A21" s="32" t="s">
        <v>61</v>
      </c>
    </row>
    <row r="22" spans="1:1" ht="15" customHeight="1" x14ac:dyDescent="0.25">
      <c r="A22" s="32" t="s">
        <v>62</v>
      </c>
    </row>
    <row r="23" spans="1:1" ht="15" customHeight="1" x14ac:dyDescent="0.25">
      <c r="A23" s="32" t="s">
        <v>63</v>
      </c>
    </row>
    <row r="24" spans="1:1" ht="15" customHeight="1" x14ac:dyDescent="0.25">
      <c r="A24" s="32" t="s">
        <v>64</v>
      </c>
    </row>
    <row r="25" spans="1:1" ht="15" customHeight="1" x14ac:dyDescent="0.25">
      <c r="A25" s="32" t="s">
        <v>65</v>
      </c>
    </row>
    <row r="26" spans="1:1" ht="15" customHeight="1" x14ac:dyDescent="0.25">
      <c r="A26" s="32"/>
    </row>
    <row r="27" spans="1:1" ht="15" customHeight="1" x14ac:dyDescent="0.25">
      <c r="A27" s="31" t="s">
        <v>66</v>
      </c>
    </row>
    <row r="28" spans="1:1" ht="15" customHeight="1" x14ac:dyDescent="0.25">
      <c r="A28" s="32" t="s">
        <v>67</v>
      </c>
    </row>
    <row r="29" spans="1:1" ht="15" customHeight="1" x14ac:dyDescent="0.25">
      <c r="A29" s="32" t="s">
        <v>68</v>
      </c>
    </row>
    <row r="30" spans="1:1" ht="15" customHeight="1" x14ac:dyDescent="0.25">
      <c r="A30" s="32" t="s">
        <v>69</v>
      </c>
    </row>
    <row r="31" spans="1:1" ht="15" customHeight="1" x14ac:dyDescent="0.25">
      <c r="A31" s="32"/>
    </row>
    <row r="32" spans="1:1" ht="15" customHeight="1" x14ac:dyDescent="0.25">
      <c r="A32" s="32" t="s">
        <v>48</v>
      </c>
    </row>
    <row r="33" spans="1:1" ht="15" customHeight="1" x14ac:dyDescent="0.25">
      <c r="A33" s="31" t="s">
        <v>70</v>
      </c>
    </row>
    <row r="34" spans="1:1" ht="15" customHeight="1" x14ac:dyDescent="0.25">
      <c r="A34" s="32" t="s">
        <v>48</v>
      </c>
    </row>
    <row r="35" spans="1:1" ht="15" customHeight="1" x14ac:dyDescent="0.25">
      <c r="A35" s="32" t="s">
        <v>71</v>
      </c>
    </row>
    <row r="36" spans="1:1" ht="15" customHeight="1" x14ac:dyDescent="0.25">
      <c r="A36" s="32" t="s">
        <v>72</v>
      </c>
    </row>
    <row r="37" spans="1:1" ht="15" customHeight="1" x14ac:dyDescent="0.25">
      <c r="A37" s="32" t="s">
        <v>73</v>
      </c>
    </row>
    <row r="38" spans="1:1" ht="15" customHeight="1" x14ac:dyDescent="0.25">
      <c r="A38" s="32" t="s">
        <v>74</v>
      </c>
    </row>
    <row r="39" spans="1:1" ht="15" customHeight="1" x14ac:dyDescent="0.25">
      <c r="A39" s="32"/>
    </row>
    <row r="40" spans="1:1" ht="15" customHeight="1" x14ac:dyDescent="0.25">
      <c r="A40" s="32" t="s">
        <v>48</v>
      </c>
    </row>
    <row r="41" spans="1:1" ht="15" customHeight="1" x14ac:dyDescent="0.25">
      <c r="A41" s="31" t="s">
        <v>75</v>
      </c>
    </row>
    <row r="42" spans="1:1" ht="15" customHeight="1" x14ac:dyDescent="0.25">
      <c r="A42" s="32" t="s">
        <v>48</v>
      </c>
    </row>
    <row r="43" spans="1:1" ht="15" customHeight="1" x14ac:dyDescent="0.25">
      <c r="A43" s="31" t="s">
        <v>76</v>
      </c>
    </row>
    <row r="44" spans="1:1" ht="15" customHeight="1" x14ac:dyDescent="0.25">
      <c r="A44" s="32" t="s">
        <v>77</v>
      </c>
    </row>
    <row r="45" spans="1:1" ht="15" customHeight="1" x14ac:dyDescent="0.25">
      <c r="A45" s="32" t="s">
        <v>78</v>
      </c>
    </row>
    <row r="46" spans="1:1" ht="15" customHeight="1" x14ac:dyDescent="0.25">
      <c r="A46" s="32" t="s">
        <v>79</v>
      </c>
    </row>
    <row r="47" spans="1:1" ht="15" customHeight="1" x14ac:dyDescent="0.25">
      <c r="A47" s="32" t="s">
        <v>80</v>
      </c>
    </row>
    <row r="48" spans="1:1" ht="15" customHeight="1" x14ac:dyDescent="0.25">
      <c r="A48" s="32" t="s">
        <v>81</v>
      </c>
    </row>
    <row r="49" spans="1:1" ht="15" customHeight="1" x14ac:dyDescent="0.25">
      <c r="A49" s="32" t="s">
        <v>82</v>
      </c>
    </row>
    <row r="50" spans="1:1" ht="15" customHeight="1" x14ac:dyDescent="0.25">
      <c r="A50" s="32" t="s">
        <v>83</v>
      </c>
    </row>
    <row r="51" spans="1:1" ht="15" customHeight="1" x14ac:dyDescent="0.25">
      <c r="A51" s="32"/>
    </row>
    <row r="52" spans="1:1" ht="15" customHeight="1" x14ac:dyDescent="0.25">
      <c r="A52" s="31" t="s">
        <v>84</v>
      </c>
    </row>
    <row r="53" spans="1:1" ht="15" customHeight="1" x14ac:dyDescent="0.25">
      <c r="A53" s="32" t="s">
        <v>85</v>
      </c>
    </row>
    <row r="54" spans="1:1" ht="15" customHeight="1" x14ac:dyDescent="0.25">
      <c r="A54" s="32" t="s">
        <v>86</v>
      </c>
    </row>
    <row r="55" spans="1:1" ht="15" customHeight="1" x14ac:dyDescent="0.25">
      <c r="A55" s="32" t="s">
        <v>87</v>
      </c>
    </row>
    <row r="56" spans="1:1" ht="15" customHeight="1" x14ac:dyDescent="0.25">
      <c r="A56" s="32" t="s">
        <v>88</v>
      </c>
    </row>
    <row r="57" spans="1:1" ht="15" customHeight="1" x14ac:dyDescent="0.25">
      <c r="A57" s="32"/>
    </row>
    <row r="58" spans="1:1" ht="15" customHeight="1" x14ac:dyDescent="0.25">
      <c r="A58" s="32" t="s">
        <v>48</v>
      </c>
    </row>
    <row r="59" spans="1:1" ht="15" customHeight="1" x14ac:dyDescent="0.25">
      <c r="A59" s="31" t="s">
        <v>89</v>
      </c>
    </row>
    <row r="60" spans="1:1" ht="15" customHeight="1" x14ac:dyDescent="0.25">
      <c r="A60" s="32" t="s">
        <v>48</v>
      </c>
    </row>
    <row r="61" spans="1:1" ht="15" customHeight="1" x14ac:dyDescent="0.25">
      <c r="A61" s="32" t="s">
        <v>90</v>
      </c>
    </row>
    <row r="62" spans="1:1" ht="15" customHeight="1" x14ac:dyDescent="0.25">
      <c r="A62" s="32" t="s">
        <v>91</v>
      </c>
    </row>
    <row r="63" spans="1:1" ht="15" customHeight="1" x14ac:dyDescent="0.25">
      <c r="A63" s="32" t="s">
        <v>92</v>
      </c>
    </row>
    <row r="64" spans="1:1" ht="15" customHeight="1" x14ac:dyDescent="0.25">
      <c r="A64" s="32" t="s">
        <v>93</v>
      </c>
    </row>
    <row r="65" spans="1:1" ht="15" customHeight="1" x14ac:dyDescent="0.25">
      <c r="A65" s="32" t="s">
        <v>94</v>
      </c>
    </row>
    <row r="66" spans="1:1" ht="15" customHeight="1" x14ac:dyDescent="0.25">
      <c r="A66" s="32" t="s">
        <v>95</v>
      </c>
    </row>
    <row r="67" spans="1:1" ht="15" customHeight="1" x14ac:dyDescent="0.25">
      <c r="A67" s="32" t="s">
        <v>96</v>
      </c>
    </row>
    <row r="68" spans="1:1" ht="15" customHeight="1" x14ac:dyDescent="0.25">
      <c r="A68" s="32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Walcheff</cp:lastModifiedBy>
  <cp:revision>0</cp:revision>
  <dcterms:created xsi:type="dcterms:W3CDTF">2026-05-15T03:24:51Z</dcterms:created>
  <dcterms:modified xsi:type="dcterms:W3CDTF">2026-05-18T21:38:05Z</dcterms:modified>
  <dc:language>en-US</dc:language>
</cp:coreProperties>
</file>